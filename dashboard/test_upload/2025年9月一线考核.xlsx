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name="部门绩效考核" sheetId="1" state="visible" r:id="rId1"/>
    <sheet name="部门副职考核" sheetId="2" state="visible" r:id="rId2"/>
    <sheet name="绩效考评汇总表" sheetId="3" state="visible" r:id="rId3"/>
    <sheet name="绩效考核参照表" sheetId="4" state="visible" r:id="rId4"/>
    <sheet name="公示部门" sheetId="5" state="visible" r:id="rId5"/>
    <sheet name="公示员工1" sheetId="6" state="visible" r:id="rId6"/>
    <sheet name="公式员工2" sheetId="7" state="visible" r:id="rId7"/>
  </sheets>
  <definedNames>
    <definedName name="_xlnm._FilterDatabase" localSheetId="2" hidden="1">'绩效考评汇总表'!$A$3:$M$71</definedName>
    <definedName name="_xlnm.Print_Titles" localSheetId="2">'绩效考评汇总表'!$3:$3</definedName>
    <definedName name="_xlnm.Print_Area" localSheetId="2">'绩效考评汇总表'!$A$1:$K$71</definedName>
    <definedName name="_xlnm.Print_Titles" localSheetId="5">'公示员工1'!$2:$2</definedName>
    <definedName name="_xlnm.Print_Titles" localSheetId="6">'公式员工2'!$2:$2</definedName>
  </definedNames>
  <calcPr calcId="191029" fullCalcOnLoad="1"/>
</workbook>
</file>

<file path=xl/styles.xml><?xml version="1.0" encoding="utf-8"?>
<styleSheet xmlns="http://schemas.openxmlformats.org/spreadsheetml/2006/main">
  <numFmts count="2">
    <numFmt numFmtId="164" formatCode="0.00_ "/>
    <numFmt numFmtId="165" formatCode="yyyy/m/d;@"/>
  </numFmts>
  <fonts count="15">
    <font>
      <name val="Calibri"/>
      <charset val="134"/>
      <color theme="1"/>
      <sz val="11"/>
      <scheme val="minor"/>
    </font>
    <font>
      <name val="仿宋"/>
      <charset val="134"/>
      <color theme="1"/>
      <sz val="14"/>
    </font>
    <font>
      <name val="Cambria"/>
      <charset val="134"/>
      <b val="1"/>
      <color theme="1"/>
      <sz val="18"/>
      <scheme val="major"/>
    </font>
    <font>
      <name val="仿宋"/>
      <charset val="134"/>
      <b val="1"/>
      <color theme="1"/>
      <sz val="14"/>
    </font>
    <font>
      <name val="仿宋"/>
      <charset val="134"/>
      <color theme="1"/>
      <sz val="11"/>
    </font>
    <font>
      <name val="仿宋"/>
      <charset val="134"/>
      <color theme="1"/>
      <sz val="12"/>
    </font>
    <font>
      <name val="仿宋"/>
      <charset val="134"/>
      <color theme="1"/>
      <sz val="16"/>
    </font>
    <font>
      <name val="Calibri"/>
      <charset val="134"/>
      <color theme="1"/>
      <sz val="20"/>
      <scheme val="minor"/>
    </font>
    <font>
      <name val="Calibri"/>
      <charset val="134"/>
      <b val="1"/>
      <color theme="1"/>
      <sz val="26"/>
      <scheme val="minor"/>
    </font>
    <font>
      <name val="Calibri"/>
      <charset val="134"/>
      <color theme="1"/>
      <sz val="26"/>
      <scheme val="minor"/>
    </font>
    <font>
      <name val="Calibri"/>
      <charset val="134"/>
      <color theme="1"/>
      <sz val="16"/>
      <scheme val="minor"/>
    </font>
    <font>
      <name val="Calibri"/>
      <charset val="134"/>
      <b val="1"/>
      <color theme="1"/>
      <sz val="16"/>
      <scheme val="minor"/>
    </font>
    <font>
      <name val="Calibri"/>
      <charset val="134"/>
      <b val="1"/>
      <color theme="1"/>
      <sz val="11"/>
      <scheme val="minor"/>
    </font>
    <font>
      <name val="仿宋"/>
      <charset val="134"/>
      <b val="1"/>
      <color theme="1"/>
      <sz val="16"/>
    </font>
    <font>
      <name val="Calibri"/>
      <charset val="134"/>
      <color theme="1"/>
      <sz val="14"/>
      <scheme val="minor"/>
    </font>
  </fonts>
  <fills count="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3999755851924192"/>
        <bgColor indexed="64"/>
      </patternFill>
    </fill>
  </fills>
  <borders count="1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</borders>
  <cellStyleXfs count="1">
    <xf numFmtId="0" fontId="0" fillId="0" borderId="0" applyAlignment="1">
      <alignment vertical="center"/>
    </xf>
  </cellStyleXfs>
  <cellXfs count="82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 wrapText="1"/>
    </xf>
    <xf numFmtId="0" fontId="1" fillId="0" borderId="0" applyAlignment="1" pivotButton="0" quotePrefix="0" xfId="0">
      <alignment vertical="center"/>
    </xf>
    <xf numFmtId="0" fontId="1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2" fillId="0" borderId="0" applyAlignment="1" pivotButton="0" quotePrefix="0" xfId="0">
      <alignment vertical="center"/>
    </xf>
    <xf numFmtId="0" fontId="3" fillId="0" borderId="1" applyAlignment="1" pivotButton="0" quotePrefix="0" xfId="0">
      <alignment horizontal="center" vertical="center"/>
    </xf>
    <xf numFmtId="0" fontId="5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Continuous" vertical="center"/>
    </xf>
    <xf numFmtId="0" fontId="0" fillId="0" borderId="0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Continuous" vertical="center"/>
    </xf>
    <xf numFmtId="0" fontId="0" fillId="0" borderId="1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left" vertical="center"/>
    </xf>
    <xf numFmtId="164" fontId="0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horizontal="right" vertical="center"/>
    </xf>
    <xf numFmtId="164" fontId="0" fillId="0" borderId="1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2" applyAlignment="1" pivotButton="0" quotePrefix="0" xfId="0">
      <alignment horizontal="center" vertical="center"/>
    </xf>
    <xf numFmtId="164" fontId="0" fillId="2" borderId="2" applyAlignment="1" pivotButton="0" quotePrefix="0" xfId="0">
      <alignment horizontal="center" vertical="center"/>
    </xf>
    <xf numFmtId="164" fontId="0" fillId="2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/>
    </xf>
    <xf numFmtId="14" fontId="0" fillId="0" borderId="0" applyAlignment="1" pivotButton="0" quotePrefix="0" xfId="0">
      <alignment vertical="center"/>
    </xf>
    <xf numFmtId="0" fontId="10" fillId="0" borderId="1" applyAlignment="1" pivotButton="0" quotePrefix="0" xfId="0">
      <alignment horizontal="center" vertical="center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6" fillId="0" borderId="7" applyAlignment="1" pivotButton="0" quotePrefix="0" xfId="0">
      <alignment horizontal="center" vertical="center" wrapText="1"/>
    </xf>
    <xf numFmtId="0" fontId="0" fillId="0" borderId="3" applyAlignment="1" pivotButton="0" quotePrefix="0" xfId="0">
      <alignment horizontal="center" vertical="center" wrapText="1"/>
    </xf>
    <xf numFmtId="0" fontId="1" fillId="0" borderId="7" applyAlignment="1" pivotButton="0" quotePrefix="0" xfId="0">
      <alignment horizontal="center" vertical="center" wrapText="1"/>
    </xf>
    <xf numFmtId="0" fontId="1" fillId="0" borderId="8" applyAlignment="1" pivotButton="0" quotePrefix="0" xfId="0">
      <alignment horizontal="center" vertical="center" wrapText="1"/>
    </xf>
    <xf numFmtId="0" fontId="11" fillId="0" borderId="1" applyAlignment="1" pivotButton="0" quotePrefix="0" xfId="0">
      <alignment horizontal="center" vertical="center" wrapText="1"/>
    </xf>
    <xf numFmtId="0" fontId="12" fillId="0" borderId="3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 wrapText="1"/>
    </xf>
    <xf numFmtId="0" fontId="1" fillId="3" borderId="1" applyAlignment="1" pivotButton="0" quotePrefix="0" xfId="0">
      <alignment horizontal="center" vertical="center"/>
    </xf>
    <xf numFmtId="0" fontId="1" fillId="3" borderId="7" applyAlignment="1" pivotButton="0" quotePrefix="0" xfId="0">
      <alignment horizontal="center" vertical="center" wrapText="1"/>
    </xf>
    <xf numFmtId="0" fontId="1" fillId="3" borderId="8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 wrapText="1"/>
    </xf>
    <xf numFmtId="0" fontId="1" fillId="3" borderId="3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 wrapText="1"/>
    </xf>
    <xf numFmtId="0" fontId="10" fillId="0" borderId="0" applyAlignment="1" pivotButton="0" quotePrefix="0" xfId="0">
      <alignment vertical="center"/>
    </xf>
    <xf numFmtId="0" fontId="11" fillId="0" borderId="0" applyAlignment="1" pivotButton="0" quotePrefix="0" xfId="0">
      <alignment vertical="center"/>
    </xf>
    <xf numFmtId="0" fontId="10" fillId="0" borderId="0" applyAlignment="1" pivotButton="0" quotePrefix="0" xfId="0">
      <alignment horizontal="left" vertical="center"/>
    </xf>
    <xf numFmtId="0" fontId="10" fillId="0" borderId="1" applyAlignment="1" pivotButton="0" quotePrefix="0" xfId="0">
      <alignment horizontal="center" vertical="center" wrapText="1"/>
    </xf>
    <xf numFmtId="0" fontId="13" fillId="0" borderId="7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/>
    </xf>
    <xf numFmtId="0" fontId="13" fillId="0" borderId="1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left" vertical="center"/>
    </xf>
    <xf numFmtId="0" fontId="1" fillId="2" borderId="1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0" fontId="8" fillId="0" borderId="0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1" fillId="0" borderId="4" applyAlignment="1" pivotButton="0" quotePrefix="0" xfId="0">
      <alignment horizontal="center" vertical="center"/>
    </xf>
    <xf numFmtId="0" fontId="1" fillId="0" borderId="5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1" fillId="0" borderId="5" applyAlignment="1" pivotButton="0" quotePrefix="0" xfId="0">
      <alignment vertical="center" wrapText="1"/>
    </xf>
    <xf numFmtId="0" fontId="1" fillId="0" borderId="5" applyAlignment="1" pivotButton="0" quotePrefix="0" xfId="0">
      <alignment horizontal="center" vertical="center" wrapText="1"/>
    </xf>
    <xf numFmtId="0" fontId="1" fillId="0" borderId="4" applyAlignment="1" pivotButton="0" quotePrefix="0" xfId="0">
      <alignment vertical="center" wrapText="1"/>
    </xf>
    <xf numFmtId="0" fontId="0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3" fillId="0" borderId="4" applyAlignment="1" pivotButton="0" quotePrefix="0" xfId="0">
      <alignment horizontal="center" vertical="center" wrapText="1"/>
    </xf>
    <xf numFmtId="0" fontId="3" fillId="0" borderId="5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0" fillId="0" borderId="5" pivotButton="0" quotePrefix="0" xfId="0"/>
    <xf numFmtId="0" fontId="0" fillId="0" borderId="2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N10"/>
  <sheetViews>
    <sheetView tabSelected="1" zoomScale="90" zoomScaleNormal="90" workbookViewId="0">
      <pane xSplit="1" ySplit="3" topLeftCell="B4" activePane="bottomRight" state="frozen"/>
      <selection pane="topRight" activeCell="A1" sqref="A1"/>
      <selection pane="bottomLeft" activeCell="A1" sqref="A1"/>
      <selection pane="bottomRight" activeCell="A1" sqref="A1:M1"/>
    </sheetView>
  </sheetViews>
  <sheetFormatPr baseColWidth="8" defaultColWidth="9" defaultRowHeight="14.4"/>
  <cols>
    <col width="18.44140625" customWidth="1" style="78" min="1" max="1"/>
    <col width="18.6640625" customWidth="1" style="78" min="2" max="13"/>
  </cols>
  <sheetData>
    <row r="1" ht="73.95" customHeight="1" s="78">
      <c r="A1" s="60" t="inlineStr">
        <is>
          <t>2025年9月部门考核评定汇总表</t>
        </is>
      </c>
    </row>
    <row r="2" ht="21" customHeight="1" s="78">
      <c r="A2" s="32" t="n"/>
      <c r="B2" s="32" t="n"/>
      <c r="C2" s="32" t="n"/>
      <c r="E2" s="32" t="n"/>
      <c r="F2" s="33" t="n"/>
      <c r="I2" s="32" t="n"/>
      <c r="M2" s="33" t="n">
        <v>46085</v>
      </c>
    </row>
    <row r="3" ht="48" customFormat="1" customHeight="1" s="50">
      <c r="A3" s="34" t="inlineStr">
        <is>
          <t>部门</t>
        </is>
      </c>
      <c r="B3" s="37" t="inlineStr">
        <is>
          <t>物业分公司</t>
        </is>
      </c>
      <c r="C3" s="36" t="inlineStr">
        <is>
          <t>总经理助理</t>
        </is>
      </c>
      <c r="D3" s="35" t="inlineStr">
        <is>
          <t>高新分公司</t>
        </is>
      </c>
      <c r="E3" s="37" t="inlineStr">
        <is>
          <t>综合办公室</t>
        </is>
      </c>
      <c r="F3" s="36" t="inlineStr">
        <is>
          <t>投资拓展部</t>
        </is>
      </c>
      <c r="G3" s="35" t="inlineStr">
        <is>
          <t>项目管理部</t>
        </is>
      </c>
      <c r="H3" s="36" t="inlineStr">
        <is>
          <t>设计管理部</t>
        </is>
      </c>
      <c r="I3" s="35" t="inlineStr">
        <is>
          <t>财务部</t>
        </is>
      </c>
      <c r="J3" s="35" t="inlineStr">
        <is>
          <t>党群纪检
审计部</t>
        </is>
      </c>
      <c r="K3" s="35" t="inlineStr">
        <is>
          <t>造价合约部</t>
        </is>
      </c>
      <c r="L3" s="36" t="inlineStr">
        <is>
          <t>质量安全部</t>
        </is>
      </c>
      <c r="M3" s="35" t="inlineStr">
        <is>
          <t>资产管理部</t>
        </is>
      </c>
      <c r="N3" s="52" t="n"/>
    </row>
    <row r="4" ht="49.95" customFormat="1" customHeight="1" s="50">
      <c r="A4" s="53" t="inlineStr">
        <is>
          <t>部门排名</t>
        </is>
      </c>
      <c r="B4" s="37" t="n">
        <v>5</v>
      </c>
      <c r="C4" s="37" t="n">
        <v>1</v>
      </c>
      <c r="D4" s="37" t="n">
        <v>3</v>
      </c>
      <c r="E4" s="37" t="n">
        <v>2</v>
      </c>
      <c r="F4" s="37" t="n">
        <v>6</v>
      </c>
      <c r="G4" s="37" t="n">
        <v>9</v>
      </c>
      <c r="H4" s="37" t="n">
        <v>8</v>
      </c>
      <c r="I4" s="37" t="n">
        <v>10</v>
      </c>
      <c r="J4" s="37" t="n">
        <v>7</v>
      </c>
      <c r="K4" s="37" t="n">
        <v>11</v>
      </c>
      <c r="L4" s="37" t="n">
        <v>12</v>
      </c>
      <c r="M4" s="35" t="n">
        <v>4</v>
      </c>
      <c r="N4" s="52" t="n"/>
    </row>
    <row r="5" ht="49.95" customFormat="1" customHeight="1" s="51">
      <c r="A5" s="41" t="inlineStr">
        <is>
          <t>得分</t>
        </is>
      </c>
      <c r="B5" s="54" t="n">
        <v>86.79000000000001</v>
      </c>
      <c r="C5" s="55" t="n">
        <v>89.33</v>
      </c>
      <c r="D5" s="55" t="n">
        <v>88.04000000000001</v>
      </c>
      <c r="E5" s="54" t="n">
        <v>89.2</v>
      </c>
      <c r="F5" s="56" t="n">
        <v>85.44</v>
      </c>
      <c r="G5" s="56" t="n">
        <v>84.44</v>
      </c>
      <c r="H5" s="55" t="n">
        <v>84.90000000000001</v>
      </c>
      <c r="I5" s="56" t="n">
        <v>84.37</v>
      </c>
      <c r="J5" s="55" t="n">
        <v>85.02</v>
      </c>
      <c r="K5" s="56" t="n">
        <v>84.2</v>
      </c>
      <c r="L5" s="55" t="n">
        <v>83.16</v>
      </c>
      <c r="M5" s="55" t="n">
        <v>86.91</v>
      </c>
      <c r="N5" s="57" t="n"/>
    </row>
    <row r="6" ht="49.95" customHeight="1" s="78">
      <c r="A6" s="18" t="inlineStr">
        <is>
          <t>本月部门
综合评定结果</t>
        </is>
      </c>
      <c r="B6" s="49" t="inlineStr">
        <is>
          <t>B</t>
        </is>
      </c>
      <c r="C6" s="58" t="inlineStr">
        <is>
          <t>A</t>
        </is>
      </c>
      <c r="D6" s="58" t="inlineStr">
        <is>
          <t>B</t>
        </is>
      </c>
      <c r="E6" s="58" t="inlineStr">
        <is>
          <t>B</t>
        </is>
      </c>
      <c r="F6" s="58" t="inlineStr">
        <is>
          <t>B</t>
        </is>
      </c>
      <c r="G6" s="58" t="inlineStr">
        <is>
          <t>B</t>
        </is>
      </c>
      <c r="H6" s="58" t="inlineStr">
        <is>
          <t>B</t>
        </is>
      </c>
      <c r="I6" s="58" t="inlineStr">
        <is>
          <t>B</t>
        </is>
      </c>
      <c r="J6" s="58" t="inlineStr">
        <is>
          <t>B</t>
        </is>
      </c>
      <c r="K6" s="58" t="inlineStr">
        <is>
          <t>B</t>
        </is>
      </c>
      <c r="L6" s="58" t="inlineStr">
        <is>
          <t>B</t>
        </is>
      </c>
      <c r="M6" s="49" t="inlineStr">
        <is>
          <t>B</t>
        </is>
      </c>
      <c r="N6" s="19" t="n"/>
    </row>
    <row r="7" ht="49.95" customFormat="1" customHeight="1" s="13">
      <c r="A7" s="38" t="inlineStr">
        <is>
          <t>部门负责人</t>
        </is>
      </c>
      <c r="B7" s="40" t="inlineStr">
        <is>
          <t>陈朝炜</t>
        </is>
      </c>
      <c r="C7" s="61" t="inlineStr">
        <is>
          <t>张云旭</t>
        </is>
      </c>
      <c r="D7" s="65" t="inlineStr">
        <is>
          <t>郑石斌</t>
        </is>
      </c>
      <c r="E7" s="39" t="inlineStr">
        <is>
          <t>吴华珊</t>
        </is>
      </c>
      <c r="F7" s="67" t="inlineStr">
        <is>
          <t>张旻菲</t>
        </is>
      </c>
      <c r="G7" s="65" t="inlineStr">
        <is>
          <t>/</t>
        </is>
      </c>
      <c r="H7" s="64" t="inlineStr">
        <is>
          <t>刘德清</t>
        </is>
      </c>
      <c r="I7" s="67" t="inlineStr">
        <is>
          <t>陈玲巧</t>
        </is>
      </c>
      <c r="J7" s="61" t="inlineStr">
        <is>
          <t>龚心怡</t>
        </is>
      </c>
      <c r="K7" s="65" t="inlineStr">
        <is>
          <t>/</t>
        </is>
      </c>
      <c r="L7" s="61" t="inlineStr">
        <is>
          <t>朱晓东</t>
        </is>
      </c>
      <c r="M7" s="65" t="inlineStr">
        <is>
          <t>叶  炫</t>
        </is>
      </c>
    </row>
    <row r="8" ht="49.95" customFormat="1" customHeight="1" s="13">
      <c r="A8" s="18" t="inlineStr">
        <is>
          <t>本月部门负责人
综合评定结果</t>
        </is>
      </c>
      <c r="B8" s="65" t="n"/>
      <c r="C8" s="64" t="n"/>
      <c r="D8" s="64" t="n"/>
      <c r="E8" s="64" t="n"/>
      <c r="F8" s="64" t="n"/>
      <c r="G8" s="64" t="n"/>
      <c r="H8" s="64" t="n"/>
      <c r="I8" s="64" t="n"/>
      <c r="J8" s="64" t="n"/>
      <c r="K8" s="64" t="n"/>
      <c r="L8" s="64" t="n"/>
      <c r="M8" s="65" t="n"/>
    </row>
    <row r="9" ht="49.95" customFormat="1" customHeight="1" s="13">
      <c r="A9" s="18" t="inlineStr">
        <is>
          <t>1月部门
综合评定结果</t>
        </is>
      </c>
      <c r="B9" s="65" t="inlineStr">
        <is>
          <t>A</t>
        </is>
      </c>
      <c r="C9" s="64" t="inlineStr">
        <is>
          <t>B</t>
        </is>
      </c>
      <c r="D9" s="64" t="inlineStr">
        <is>
          <t>B</t>
        </is>
      </c>
      <c r="E9" s="64" t="inlineStr">
        <is>
          <t>B</t>
        </is>
      </c>
      <c r="F9" s="64" t="inlineStr">
        <is>
          <t>B</t>
        </is>
      </c>
      <c r="G9" s="64" t="inlineStr">
        <is>
          <t>B</t>
        </is>
      </c>
      <c r="H9" s="64" t="inlineStr">
        <is>
          <t>B</t>
        </is>
      </c>
      <c r="I9" s="64" t="inlineStr">
        <is>
          <t>B</t>
        </is>
      </c>
      <c r="J9" s="64" t="inlineStr">
        <is>
          <t>B</t>
        </is>
      </c>
      <c r="K9" s="64" t="inlineStr">
        <is>
          <t>B</t>
        </is>
      </c>
      <c r="L9" s="64" t="inlineStr">
        <is>
          <t>B</t>
        </is>
      </c>
      <c r="M9" s="65" t="inlineStr">
        <is>
          <t>B</t>
        </is>
      </c>
    </row>
    <row r="10" ht="28.95" customHeight="1" s="78">
      <c r="A10" s="19" t="inlineStr">
        <is>
          <t>备注：1、部门负责人等级与部门考核等级相同。 2、月度优秀不超过总数的30%</t>
        </is>
      </c>
      <c r="B10" s="59" t="n"/>
      <c r="I10" s="19" t="n"/>
      <c r="M10" s="19" t="n"/>
    </row>
  </sheetData>
  <mergeCells count="1">
    <mergeCell ref="A1:M1"/>
  </mergeCells>
  <pageMargins left="0.550694444444444" right="0.432638888888889" top="0.275" bottom="0.314583333333333" header="0.196527777777778" footer="0.275"/>
  <pageSetup orientation="landscape" paperSize="9" scale="57" fitToHeight="0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G14"/>
  <sheetViews>
    <sheetView workbookViewId="0">
      <selection activeCell="A1" sqref="A1:G1"/>
    </sheetView>
  </sheetViews>
  <sheetFormatPr baseColWidth="8" defaultColWidth="9" defaultRowHeight="14.4"/>
  <cols>
    <col width="18.44140625" customWidth="1" style="78" min="1" max="1"/>
    <col width="18.6640625" customWidth="1" style="78" min="2" max="5"/>
    <col width="18.44140625" customWidth="1" style="78" min="6" max="6"/>
    <col width="18.6640625" customWidth="1" style="78" min="7" max="7"/>
  </cols>
  <sheetData>
    <row r="1" ht="55.95" customHeight="1" s="78">
      <c r="A1" s="60" t="inlineStr">
        <is>
          <t>2025年9月中层副职管理人员考核评定汇总表</t>
        </is>
      </c>
    </row>
    <row r="2" ht="15" customHeight="1" s="78">
      <c r="A2" s="32" t="n"/>
      <c r="D2" s="32" t="n"/>
      <c r="E2" s="33" t="n"/>
      <c r="F2" s="32" t="n"/>
      <c r="G2" s="33" t="n">
        <v>46085</v>
      </c>
    </row>
    <row r="3" ht="63" customHeight="1" s="78">
      <c r="A3" s="34" t="inlineStr">
        <is>
          <t>部门</t>
        </is>
      </c>
      <c r="B3" s="35" t="inlineStr">
        <is>
          <t>物业分公司</t>
        </is>
      </c>
      <c r="C3" s="36" t="inlineStr">
        <is>
          <t>高新分公司</t>
        </is>
      </c>
      <c r="D3" s="35" t="inlineStr">
        <is>
          <t>综合办公室</t>
        </is>
      </c>
      <c r="E3" s="37" t="inlineStr">
        <is>
          <t>投资拓展部</t>
        </is>
      </c>
      <c r="F3" s="36" t="inlineStr">
        <is>
          <t>项目管理部</t>
        </is>
      </c>
      <c r="G3" s="35" t="inlineStr">
        <is>
          <t>造价合约部</t>
        </is>
      </c>
    </row>
    <row r="4" ht="49.95" customHeight="1" s="78">
      <c r="A4" s="38" t="inlineStr">
        <is>
          <t>副职管理人员</t>
        </is>
      </c>
      <c r="B4" s="65" t="inlineStr">
        <is>
          <t>陈媛</t>
        </is>
      </c>
      <c r="C4" s="64" t="inlineStr">
        <is>
          <t>孙安娜</t>
        </is>
      </c>
      <c r="D4" s="39" t="inlineStr">
        <is>
          <t>胡彩仙</t>
        </is>
      </c>
      <c r="E4" s="40" t="inlineStr">
        <is>
          <t>陈晔龙</t>
        </is>
      </c>
      <c r="F4" s="67" t="inlineStr">
        <is>
          <t>蔡震空</t>
        </is>
      </c>
      <c r="G4" s="61" t="inlineStr">
        <is>
          <t>陈  杰</t>
        </is>
      </c>
    </row>
    <row r="5" ht="49.95" customHeight="1" s="78">
      <c r="A5" s="41" t="inlineStr">
        <is>
          <t>部门考核得分</t>
        </is>
      </c>
      <c r="B5" s="67">
        <f>部门绩效考核!B5</f>
        <v/>
      </c>
      <c r="C5" s="61">
        <f>部门绩效考核!D5</f>
        <v/>
      </c>
      <c r="D5" s="40">
        <f>部门绩效考核!E5</f>
        <v/>
      </c>
      <c r="E5" s="40">
        <f>部门绩效考核!F5</f>
        <v/>
      </c>
      <c r="F5" s="67">
        <f>部门绩效考核!G5</f>
        <v/>
      </c>
      <c r="G5" s="61">
        <f>部门绩效考核!K5</f>
        <v/>
      </c>
    </row>
    <row r="6" ht="49.95" customHeight="1" s="78">
      <c r="A6" s="38" t="inlineStr">
        <is>
          <t>部门考核等级</t>
        </is>
      </c>
      <c r="B6" s="67">
        <f>_xlfn.IFS(部门绩效考核!B6="A","95",部门绩效考核!B6="B","80",部门绩效考核!B6="C","65",部门绩效考核!B6="D","50")</f>
        <v/>
      </c>
      <c r="C6" s="67">
        <f>_xlfn.IFS(部门绩效考核!D6="A","95",部门绩效考核!D6="B","80",部门绩效考核!D6="C","65",部门绩效考核!D6="D","50")</f>
        <v/>
      </c>
      <c r="D6" s="67">
        <f>_xlfn.IFS(部门绩效考核!E6="A","95",部门绩效考核!E6="B","80",部门绩效考核!E6="C","65",部门绩效考核!E6="D","50")</f>
        <v/>
      </c>
      <c r="E6" s="67">
        <f>_xlfn.IFS(部门绩效考核!F6="A","95",部门绩效考核!F6="B","80",部门绩效考核!F6="C","65",部门绩效考核!F6="D","50")</f>
        <v/>
      </c>
      <c r="F6" s="67">
        <f>_xlfn.IFS(部门绩效考核!G6="A","95",部门绩效考核!G6="B","80",部门绩效考核!G6="C","65",部门绩效考核!G6="D","50")</f>
        <v/>
      </c>
      <c r="G6" s="67">
        <f>_xlfn.IFS(部门绩效考核!K6="A","95",部门绩效考核!K6="B","80",部门绩效考核!K6="C","65",部门绩效考核!K6="D","50")</f>
        <v/>
      </c>
    </row>
    <row r="7" ht="49.95" customHeight="1" s="78">
      <c r="A7" s="38" t="inlineStr">
        <is>
          <t>部门负责人评分</t>
        </is>
      </c>
      <c r="B7" s="65" t="n">
        <v>88</v>
      </c>
      <c r="C7" s="64" t="n">
        <v>89</v>
      </c>
      <c r="D7" s="39" t="n">
        <v>91</v>
      </c>
      <c r="E7" s="40" t="n">
        <v>89</v>
      </c>
      <c r="F7" s="67" t="n">
        <v>89</v>
      </c>
      <c r="G7" s="61" t="n">
        <v>90</v>
      </c>
    </row>
    <row r="8" ht="49.95" customHeight="1" s="78">
      <c r="A8" s="38" t="inlineStr">
        <is>
          <t>分管领导评分</t>
        </is>
      </c>
      <c r="B8" s="65" t="n">
        <v>89</v>
      </c>
      <c r="C8" s="64" t="n">
        <v>89</v>
      </c>
      <c r="D8" s="39" t="n">
        <v>89</v>
      </c>
      <c r="E8" s="40" t="n">
        <v>89</v>
      </c>
      <c r="F8" s="67" t="n">
        <v>90</v>
      </c>
      <c r="G8" s="61" t="n">
        <v>89</v>
      </c>
    </row>
    <row r="9" ht="49.95" customHeight="1" s="78">
      <c r="A9" s="42" t="inlineStr">
        <is>
          <t>综合得分</t>
        </is>
      </c>
      <c r="B9" s="75" t="n">
        <v>94.39</v>
      </c>
      <c r="C9" s="75" t="n">
        <v>87.87</v>
      </c>
      <c r="D9" s="75" t="n">
        <v>84.41</v>
      </c>
      <c r="E9" s="75" t="n">
        <v>84.25</v>
      </c>
      <c r="F9" s="75" t="n">
        <v>83.23</v>
      </c>
      <c r="G9" s="75" t="n">
        <v>83.92</v>
      </c>
    </row>
    <row r="10" ht="49.95" customHeight="1" s="78">
      <c r="A10" s="38" t="inlineStr">
        <is>
          <t>参照部门得分的
综合得分</t>
        </is>
      </c>
      <c r="B10" s="67">
        <f>ROUND(B5*0.5+B7*0.2+B8*0.3,2)</f>
        <v/>
      </c>
      <c r="C10" s="67">
        <f>ROUND(C5*0.5+C7*0.2+C8*0.3,2)</f>
        <v/>
      </c>
      <c r="D10" s="67">
        <f>ROUND(D5*0.5+D7*0.2+D8*0.3,2)</f>
        <v/>
      </c>
      <c r="E10" s="67">
        <f>ROUND(E5*0.5+E7*0.2+E8*0.3,2)</f>
        <v/>
      </c>
      <c r="F10" s="67">
        <f>ROUND(F5*0.5+F7*0.2+F8*0.3,2)</f>
        <v/>
      </c>
      <c r="G10" s="67">
        <f>ROUND(G5*0.5+G7*0.2+G8*0.3,2)</f>
        <v/>
      </c>
    </row>
    <row r="11" ht="49.95" customHeight="1" s="78">
      <c r="A11" s="38" t="inlineStr">
        <is>
          <t>排    名</t>
        </is>
      </c>
      <c r="B11" s="43" t="n">
        <v>1</v>
      </c>
      <c r="C11" s="44" t="n">
        <v>5</v>
      </c>
      <c r="D11" s="45" t="n">
        <v>2</v>
      </c>
      <c r="E11" s="46" t="n">
        <v>5</v>
      </c>
      <c r="F11" s="47" t="n">
        <v>3</v>
      </c>
      <c r="G11" s="48" t="n">
        <v>4</v>
      </c>
    </row>
    <row r="12" ht="49.95" customHeight="1" s="78">
      <c r="A12" s="18" t="inlineStr">
        <is>
          <t>本月综合评定结果</t>
        </is>
      </c>
      <c r="B12" s="49" t="inlineStr">
        <is>
          <t>A</t>
        </is>
      </c>
      <c r="C12" s="49" t="inlineStr">
        <is>
          <t>B</t>
        </is>
      </c>
      <c r="D12" s="49" t="inlineStr">
        <is>
          <t>B</t>
        </is>
      </c>
      <c r="E12" s="49" t="inlineStr">
        <is>
          <t>B</t>
        </is>
      </c>
      <c r="F12" s="49" t="inlineStr">
        <is>
          <t>B</t>
        </is>
      </c>
      <c r="G12" s="49" t="inlineStr">
        <is>
          <t>B</t>
        </is>
      </c>
    </row>
    <row r="13" ht="49.95" customHeight="1" s="78">
      <c r="A13" s="18" t="inlineStr">
        <is>
          <t>1月综合评定结果</t>
        </is>
      </c>
      <c r="B13" s="65" t="inlineStr">
        <is>
          <t>B</t>
        </is>
      </c>
      <c r="C13" s="65" t="inlineStr">
        <is>
          <t>B</t>
        </is>
      </c>
      <c r="D13" s="65" t="inlineStr">
        <is>
          <t>B</t>
        </is>
      </c>
      <c r="E13" s="65" t="inlineStr">
        <is>
          <t>B</t>
        </is>
      </c>
      <c r="F13" s="65" t="inlineStr">
        <is>
          <t>B</t>
        </is>
      </c>
      <c r="G13" s="65" t="inlineStr">
        <is>
          <t>B</t>
        </is>
      </c>
    </row>
    <row r="14" ht="22.95" customHeight="1" s="78">
      <c r="A14" s="19" t="inlineStr">
        <is>
          <t>备注：1、副职管理人员月度优秀比例不超过30%</t>
        </is>
      </c>
    </row>
  </sheetData>
  <mergeCells count="1">
    <mergeCell ref="A1:G1"/>
  </mergeCells>
  <pageMargins left="0.75" right="0.75" top="1" bottom="1" header="0.5" footer="0.5"/>
  <pageSetup orientation="landscape" paperSize="9" fitToHeight="0"/>
</worksheet>
</file>

<file path=xl/worksheets/sheet3.xml><?xml version="1.0" encoding="utf-8"?>
<worksheet xmlns="http://schemas.openxmlformats.org/spreadsheetml/2006/main">
  <sheetPr codeName="Sheet12">
    <outlinePr summaryBelow="1" summaryRight="1"/>
    <pageSetUpPr fitToPage="1"/>
  </sheetPr>
  <dimension ref="A1:N82"/>
  <sheetViews>
    <sheetView zoomScale="110" zoomScaleNormal="110" workbookViewId="0">
      <pane xSplit="7" ySplit="3" topLeftCell="H4" activePane="bottomRight" state="frozen"/>
      <selection pane="topRight" activeCell="A1" sqref="A1"/>
      <selection pane="bottomLeft" activeCell="A1" sqref="A1"/>
      <selection pane="bottomRight" activeCell="A1" sqref="A1:K1"/>
    </sheetView>
  </sheetViews>
  <sheetFormatPr baseColWidth="8" defaultColWidth="9" defaultRowHeight="14.4"/>
  <cols>
    <col width="19.109375" customWidth="1" style="78" min="1" max="1"/>
    <col width="12.5546875" customWidth="1" style="13" min="2" max="4"/>
    <col width="13.44140625" customWidth="1" style="13" min="5" max="5"/>
    <col width="6.77734375" customWidth="1" style="78" min="6" max="6"/>
    <col width="10.109375" customWidth="1" style="13" min="7" max="7"/>
    <col width="7.33203125" customWidth="1" style="13" min="8" max="8"/>
    <col width="8.6640625" customWidth="1" style="20" min="9" max="9"/>
    <col width="13.6640625" customWidth="1" style="20" min="10" max="10"/>
    <col hidden="1" width="13.44140625" customWidth="1" style="13" min="11" max="11"/>
    <col hidden="1" width="7.44140625" customWidth="1" style="13" min="12" max="12"/>
    <col hidden="1" width="7" customWidth="1" style="13" min="13" max="13"/>
  </cols>
  <sheetData>
    <row r="1" ht="63" customHeight="1" s="78">
      <c r="A1" s="60" t="inlineStr">
        <is>
          <t>2025年9月绩效考核评定汇总表</t>
        </is>
      </c>
    </row>
    <row r="2" ht="15" customHeight="1" s="78">
      <c r="A2" s="60" t="n"/>
      <c r="B2" s="60" t="n"/>
      <c r="C2" s="60" t="n"/>
      <c r="D2" s="60" t="n"/>
      <c r="E2" s="60" t="n"/>
      <c r="F2" s="60" t="n"/>
      <c r="G2" s="60" t="n"/>
      <c r="H2" s="60" t="n"/>
      <c r="I2" s="60" t="n"/>
      <c r="J2" s="60" t="n"/>
      <c r="K2" s="22" t="n">
        <v>46085</v>
      </c>
    </row>
    <row r="3" ht="37.95" customHeight="1" s="78">
      <c r="A3" s="72" t="inlineStr">
        <is>
          <t>部门</t>
        </is>
      </c>
      <c r="B3" s="18" t="inlineStr">
        <is>
          <t>部门负责人</t>
        </is>
      </c>
      <c r="C3" s="18" t="inlineStr">
        <is>
          <t>部门排名</t>
        </is>
      </c>
      <c r="D3" s="18" t="inlineStr">
        <is>
          <t>得分</t>
        </is>
      </c>
      <c r="E3" s="18" t="inlineStr">
        <is>
          <t>部门考核结果</t>
        </is>
      </c>
      <c r="F3" s="72" t="inlineStr">
        <is>
          <t>序号</t>
        </is>
      </c>
      <c r="G3" s="72" t="inlineStr">
        <is>
          <t>员工姓名</t>
        </is>
      </c>
      <c r="H3" s="72" t="inlineStr">
        <is>
          <t>排名</t>
        </is>
      </c>
      <c r="I3" s="23" t="inlineStr">
        <is>
          <t>得分</t>
        </is>
      </c>
      <c r="J3" s="18" t="inlineStr">
        <is>
          <t>9月员工
综合评定结果</t>
        </is>
      </c>
      <c r="K3" s="18" t="inlineStr">
        <is>
          <t>1月员工
综合评定结果</t>
        </is>
      </c>
      <c r="L3" s="24" t="inlineStr">
        <is>
          <t>部门</t>
        </is>
      </c>
      <c r="M3" s="24" t="inlineStr">
        <is>
          <t>领导</t>
        </is>
      </c>
    </row>
    <row r="4" ht="22.95" customHeight="1" s="78">
      <c r="A4" s="64" t="inlineStr">
        <is>
          <t>物业分公司</t>
        </is>
      </c>
      <c r="B4" s="64">
        <f>部门绩效考核!B7</f>
        <v/>
      </c>
      <c r="C4" s="64">
        <f>部门绩效考核!B4</f>
        <v/>
      </c>
      <c r="D4" s="64">
        <f>部门绩效考核!B5</f>
        <v/>
      </c>
      <c r="E4" s="64">
        <f>部门绩效考核!B6</f>
        <v/>
      </c>
      <c r="F4" s="25">
        <f>ROW()-3</f>
        <v/>
      </c>
      <c r="G4" s="64" t="inlineStr">
        <is>
          <t>林晓燕</t>
        </is>
      </c>
      <c r="H4" s="72" t="n">
        <v>1</v>
      </c>
      <c r="I4" s="23" t="n">
        <v>88.23</v>
      </c>
      <c r="J4" s="26" t="inlineStr">
        <is>
          <t>B</t>
        </is>
      </c>
      <c r="K4" s="25" t="inlineStr">
        <is>
          <t>A</t>
        </is>
      </c>
      <c r="L4" s="13" t="n">
        <v>89</v>
      </c>
      <c r="M4" s="13" t="n">
        <v>90</v>
      </c>
    </row>
    <row r="5" ht="22.95" customHeight="1" s="78">
      <c r="A5" s="79" t="n"/>
      <c r="B5" s="79" t="n"/>
      <c r="C5" s="79" t="n"/>
      <c r="D5" s="79" t="n"/>
      <c r="E5" s="79" t="n"/>
      <c r="F5" s="25">
        <f>ROW()-3</f>
        <v/>
      </c>
      <c r="G5" s="64" t="inlineStr">
        <is>
          <t>林小森</t>
        </is>
      </c>
      <c r="H5" s="72" t="n">
        <v>2</v>
      </c>
      <c r="I5" s="23" t="n">
        <v>88.84</v>
      </c>
      <c r="J5" s="26" t="inlineStr">
        <is>
          <t>A</t>
        </is>
      </c>
      <c r="K5" s="25" t="inlineStr">
        <is>
          <t>A</t>
        </is>
      </c>
      <c r="L5" s="13" t="n">
        <v>88</v>
      </c>
      <c r="M5" s="13" t="n">
        <v>89</v>
      </c>
    </row>
    <row r="6" ht="22.95" customHeight="1" s="78">
      <c r="A6" s="79" t="n"/>
      <c r="B6" s="79" t="n"/>
      <c r="C6" s="79" t="n"/>
      <c r="D6" s="79" t="n"/>
      <c r="E6" s="79" t="n"/>
      <c r="F6" s="25">
        <f>ROW()-3</f>
        <v/>
      </c>
      <c r="G6" s="64" t="inlineStr">
        <is>
          <t>林大江</t>
        </is>
      </c>
      <c r="H6" s="72" t="n">
        <v>3</v>
      </c>
      <c r="I6" s="23" t="n">
        <v>86.23</v>
      </c>
      <c r="J6" s="26" t="inlineStr">
        <is>
          <t>B</t>
        </is>
      </c>
      <c r="K6" s="72" t="inlineStr">
        <is>
          <t>B</t>
        </is>
      </c>
      <c r="L6" s="13" t="n">
        <v>86</v>
      </c>
      <c r="M6" s="13" t="n">
        <v>87</v>
      </c>
    </row>
    <row r="7" ht="22.95" customHeight="1" s="78">
      <c r="A7" s="79" t="n"/>
      <c r="B7" s="79" t="n"/>
      <c r="C7" s="79" t="n"/>
      <c r="D7" s="79" t="n"/>
      <c r="E7" s="79" t="n"/>
      <c r="F7" s="25">
        <f>ROW()-3</f>
        <v/>
      </c>
      <c r="G7" s="64" t="inlineStr">
        <is>
          <t>钱  源</t>
        </is>
      </c>
      <c r="H7" s="72" t="n">
        <v>3</v>
      </c>
      <c r="I7" s="23" t="n">
        <v>87.19</v>
      </c>
      <c r="J7" s="26" t="inlineStr">
        <is>
          <t>B</t>
        </is>
      </c>
      <c r="K7" s="25" t="inlineStr">
        <is>
          <t>B</t>
        </is>
      </c>
      <c r="L7" s="13" t="n">
        <v>86</v>
      </c>
      <c r="M7" s="13" t="n">
        <v>87</v>
      </c>
    </row>
    <row r="8" ht="22.95" customHeight="1" s="78">
      <c r="A8" s="79" t="n"/>
      <c r="B8" s="79" t="n"/>
      <c r="C8" s="79" t="n"/>
      <c r="D8" s="79" t="n"/>
      <c r="E8" s="79" t="n"/>
      <c r="F8" s="25">
        <f>ROW()-3</f>
        <v/>
      </c>
      <c r="G8" s="64" t="inlineStr">
        <is>
          <t>王子妍</t>
        </is>
      </c>
      <c r="H8" s="72" t="n">
        <v>5</v>
      </c>
      <c r="I8" s="23" t="n">
        <v>87.94</v>
      </c>
      <c r="J8" s="26" t="inlineStr">
        <is>
          <t>B</t>
        </is>
      </c>
      <c r="K8" s="25" t="inlineStr">
        <is>
          <t>B</t>
        </is>
      </c>
      <c r="L8" s="13" t="n">
        <v>85</v>
      </c>
      <c r="M8" s="13" t="n">
        <v>86</v>
      </c>
    </row>
    <row r="9" ht="22.95" customHeight="1" s="78">
      <c r="A9" s="80" t="n"/>
      <c r="B9" s="80" t="n"/>
      <c r="C9" s="80" t="n"/>
      <c r="D9" s="80" t="n"/>
      <c r="E9" s="80" t="n"/>
      <c r="F9" s="25">
        <f>ROW()-3</f>
        <v/>
      </c>
      <c r="G9" s="64" t="inlineStr">
        <is>
          <t>肖炜萍</t>
        </is>
      </c>
      <c r="H9" s="72" t="n">
        <v>6</v>
      </c>
      <c r="I9" s="23" t="n">
        <v>86.01000000000001</v>
      </c>
      <c r="J9" s="26" t="inlineStr">
        <is>
          <t>B</t>
        </is>
      </c>
      <c r="K9" s="25" t="inlineStr">
        <is>
          <t>C</t>
        </is>
      </c>
      <c r="L9" s="13" t="n">
        <v>84</v>
      </c>
      <c r="M9" s="13" t="n">
        <v>85</v>
      </c>
    </row>
    <row r="10" ht="22.95" customHeight="1" s="78">
      <c r="A10" s="65" t="inlineStr">
        <is>
          <t>总经理助理</t>
        </is>
      </c>
      <c r="B10" s="65" t="inlineStr">
        <is>
          <t>张云旭</t>
        </is>
      </c>
      <c r="C10" s="65">
        <f>部门绩效考核!C4</f>
        <v/>
      </c>
      <c r="D10" s="65">
        <f>部门绩效考核!C5</f>
        <v/>
      </c>
      <c r="E10" s="64">
        <f>部门绩效考核!C6</f>
        <v/>
      </c>
      <c r="F10" s="72" t="n"/>
      <c r="G10" s="64" t="n"/>
      <c r="H10" s="72" t="n"/>
      <c r="I10" s="23" t="n"/>
      <c r="J10" s="27" t="n"/>
      <c r="K10" s="72" t="n"/>
    </row>
    <row r="11" ht="22.95" customHeight="1" s="78">
      <c r="A11" s="70" t="inlineStr">
        <is>
          <t>高新区分公司</t>
        </is>
      </c>
      <c r="B11" s="70">
        <f>部门绩效考核!D7</f>
        <v/>
      </c>
      <c r="C11" s="70">
        <f>部门绩效考核!D4</f>
        <v/>
      </c>
      <c r="D11" s="70">
        <f>部门绩效考核!D5</f>
        <v/>
      </c>
      <c r="E11" s="70">
        <f>部门绩效考核!D6</f>
        <v/>
      </c>
      <c r="F11" s="28">
        <f>ROW()-3</f>
        <v/>
      </c>
      <c r="G11" s="64" t="inlineStr">
        <is>
          <t>高  彬</t>
        </is>
      </c>
      <c r="H11" s="72" t="n">
        <v>1</v>
      </c>
      <c r="I11" s="23" t="n">
        <v>90.62</v>
      </c>
      <c r="J11" s="27" t="inlineStr">
        <is>
          <t>A</t>
        </is>
      </c>
      <c r="K11" s="72" t="inlineStr">
        <is>
          <t>B</t>
        </is>
      </c>
      <c r="L11" s="13" t="n">
        <v>90</v>
      </c>
      <c r="M11" s="13" t="n">
        <v>90</v>
      </c>
      <c r="N11" s="1" t="n"/>
    </row>
    <row r="12" ht="22.95" customHeight="1" s="78">
      <c r="A12" s="79" t="n"/>
      <c r="B12" s="79" t="n"/>
      <c r="C12" s="79" t="n"/>
      <c r="D12" s="79" t="n"/>
      <c r="E12" s="79" t="n"/>
      <c r="F12" s="25">
        <f>ROW()-3</f>
        <v/>
      </c>
      <c r="G12" s="64" t="inlineStr">
        <is>
          <t>陈南钟</t>
        </is>
      </c>
      <c r="H12" s="72" t="n">
        <v>2</v>
      </c>
      <c r="I12" s="23" t="n">
        <v>85.16</v>
      </c>
      <c r="J12" s="26" t="inlineStr">
        <is>
          <t>B</t>
        </is>
      </c>
      <c r="K12" s="72" t="inlineStr">
        <is>
          <t>B</t>
        </is>
      </c>
      <c r="L12" s="13" t="n">
        <v>88</v>
      </c>
      <c r="M12" s="13" t="n">
        <v>88</v>
      </c>
      <c r="N12" s="1" t="n"/>
    </row>
    <row r="13" ht="22.95" customHeight="1" s="78">
      <c r="A13" s="79" t="n"/>
      <c r="B13" s="79" t="n"/>
      <c r="C13" s="79" t="n"/>
      <c r="D13" s="79" t="n"/>
      <c r="E13" s="79" t="n"/>
      <c r="F13" s="25">
        <f>ROW()-3</f>
        <v/>
      </c>
      <c r="G13" s="64" t="inlineStr">
        <is>
          <t>林  强</t>
        </is>
      </c>
      <c r="H13" s="72" t="n">
        <v>2</v>
      </c>
      <c r="I13" s="23" t="n">
        <v>86.37</v>
      </c>
      <c r="J13" s="26" t="inlineStr">
        <is>
          <t>B</t>
        </is>
      </c>
      <c r="K13" s="72" t="inlineStr">
        <is>
          <t>A</t>
        </is>
      </c>
      <c r="L13" s="13" t="n">
        <v>88</v>
      </c>
      <c r="M13" s="13" t="n">
        <v>88</v>
      </c>
      <c r="N13" s="1" t="n"/>
    </row>
    <row r="14" ht="22.95" customHeight="1" s="78">
      <c r="A14" s="79" t="n"/>
      <c r="B14" s="79" t="n"/>
      <c r="C14" s="79" t="n"/>
      <c r="D14" s="79" t="n"/>
      <c r="E14" s="79" t="n"/>
      <c r="F14" s="25">
        <f>ROW()-3</f>
        <v/>
      </c>
      <c r="G14" s="64" t="inlineStr">
        <is>
          <t>陈胜华</t>
        </is>
      </c>
      <c r="H14" s="72" t="n">
        <v>2</v>
      </c>
      <c r="I14" s="23" t="n">
        <v>89.05</v>
      </c>
      <c r="J14" s="26" t="inlineStr">
        <is>
          <t>B</t>
        </is>
      </c>
      <c r="K14" s="72" t="inlineStr">
        <is>
          <t>B</t>
        </is>
      </c>
      <c r="L14" s="13" t="n">
        <v>88</v>
      </c>
      <c r="M14" s="13" t="n">
        <v>88</v>
      </c>
      <c r="N14" s="1" t="n"/>
    </row>
    <row r="15" ht="22.95" customHeight="1" s="78">
      <c r="A15" s="79" t="n"/>
      <c r="B15" s="79" t="n"/>
      <c r="C15" s="79" t="n"/>
      <c r="D15" s="79" t="n"/>
      <c r="E15" s="79" t="n"/>
      <c r="F15" s="25">
        <f>ROW()-3</f>
        <v/>
      </c>
      <c r="G15" s="64" t="inlineStr">
        <is>
          <t>李缘媛</t>
        </is>
      </c>
      <c r="H15" s="72" t="n">
        <v>2</v>
      </c>
      <c r="I15" s="23" t="n">
        <v>90.16</v>
      </c>
      <c r="J15" s="26" t="inlineStr">
        <is>
          <t>B</t>
        </is>
      </c>
      <c r="K15" s="72" t="inlineStr">
        <is>
          <t>B</t>
        </is>
      </c>
      <c r="L15" s="13" t="n">
        <v>88</v>
      </c>
      <c r="M15" s="13" t="n">
        <v>88</v>
      </c>
    </row>
    <row r="16" ht="22.95" customHeight="1" s="78">
      <c r="A16" s="79" t="n"/>
      <c r="B16" s="79" t="n"/>
      <c r="C16" s="79" t="n"/>
      <c r="D16" s="79" t="n"/>
      <c r="E16" s="79" t="n"/>
      <c r="F16" s="25">
        <f>ROW()-3</f>
        <v/>
      </c>
      <c r="G16" s="64" t="inlineStr">
        <is>
          <t>陈起颂</t>
        </is>
      </c>
      <c r="H16" s="72" t="n">
        <v>6</v>
      </c>
      <c r="I16" s="23" t="n">
        <v>87.52</v>
      </c>
      <c r="J16" s="26" t="inlineStr">
        <is>
          <t>B</t>
        </is>
      </c>
      <c r="K16" s="72" t="inlineStr">
        <is>
          <t>A</t>
        </is>
      </c>
      <c r="L16" s="13" t="n">
        <v>87</v>
      </c>
      <c r="M16" s="13" t="n">
        <v>87</v>
      </c>
      <c r="N16" s="1" t="n"/>
    </row>
    <row r="17" ht="22.95" customHeight="1" s="78">
      <c r="A17" s="79" t="n"/>
      <c r="B17" s="79" t="n"/>
      <c r="C17" s="79" t="n"/>
      <c r="D17" s="79" t="n"/>
      <c r="E17" s="79" t="n"/>
      <c r="F17" s="25">
        <f>ROW()-3</f>
        <v/>
      </c>
      <c r="G17" s="64" t="inlineStr">
        <is>
          <t>薛来煌</t>
        </is>
      </c>
      <c r="H17" s="72" t="n">
        <v>6</v>
      </c>
      <c r="I17" s="23" t="n">
        <v>84.12</v>
      </c>
      <c r="J17" s="26" t="inlineStr">
        <is>
          <t>B</t>
        </is>
      </c>
      <c r="K17" s="72" t="inlineStr">
        <is>
          <t>B</t>
        </is>
      </c>
      <c r="L17" s="13" t="n">
        <v>87</v>
      </c>
      <c r="M17" s="13" t="n">
        <v>87</v>
      </c>
      <c r="N17" s="1" t="n"/>
    </row>
    <row r="18" ht="22.95" customHeight="1" s="78">
      <c r="A18" s="79" t="n"/>
      <c r="B18" s="79" t="n"/>
      <c r="C18" s="79" t="n"/>
      <c r="D18" s="79" t="n"/>
      <c r="E18" s="79" t="n"/>
      <c r="F18" s="25">
        <f>ROW()-3</f>
        <v/>
      </c>
      <c r="G18" s="64" t="inlineStr">
        <is>
          <t>陈  泽</t>
        </is>
      </c>
      <c r="H18" s="72" t="n">
        <v>6</v>
      </c>
      <c r="I18" s="23" t="n">
        <v>88.59</v>
      </c>
      <c r="J18" s="26" t="inlineStr">
        <is>
          <t>B</t>
        </is>
      </c>
      <c r="K18" s="72" t="inlineStr">
        <is>
          <t>B</t>
        </is>
      </c>
      <c r="L18" s="13" t="n">
        <v>87</v>
      </c>
      <c r="M18" s="13" t="n">
        <v>87</v>
      </c>
      <c r="N18" s="1" t="n"/>
    </row>
    <row r="19" ht="22.95" customHeight="1" s="78">
      <c r="A19" s="79" t="n"/>
      <c r="B19" s="79" t="n"/>
      <c r="C19" s="79" t="n"/>
      <c r="D19" s="79" t="n"/>
      <c r="E19" s="79" t="n"/>
      <c r="F19" s="25">
        <f>ROW()-3</f>
        <v/>
      </c>
      <c r="G19" s="64" t="inlineStr">
        <is>
          <t>陈秀榕</t>
        </is>
      </c>
      <c r="H19" s="72" t="n">
        <v>6</v>
      </c>
      <c r="I19" s="23" t="n">
        <v>88.93000000000001</v>
      </c>
      <c r="J19" s="26" t="inlineStr">
        <is>
          <t>B</t>
        </is>
      </c>
      <c r="K19" s="72" t="inlineStr">
        <is>
          <t>B</t>
        </is>
      </c>
      <c r="L19" s="13" t="n">
        <v>87</v>
      </c>
      <c r="M19" s="13" t="n">
        <v>87</v>
      </c>
      <c r="N19" s="1" t="n"/>
    </row>
    <row r="20" ht="22.95" customHeight="1" s="78">
      <c r="A20" s="79" t="n"/>
      <c r="B20" s="79" t="n"/>
      <c r="C20" s="79" t="n"/>
      <c r="D20" s="79" t="n"/>
      <c r="E20" s="79" t="n"/>
      <c r="F20" s="25">
        <f>ROW()-3</f>
        <v/>
      </c>
      <c r="G20" s="64" t="inlineStr">
        <is>
          <t>林鹏飞</t>
        </is>
      </c>
      <c r="H20" s="72" t="n">
        <v>10</v>
      </c>
      <c r="I20" s="23" t="n">
        <v>86.45999999999999</v>
      </c>
      <c r="J20" s="26" t="inlineStr">
        <is>
          <t>B</t>
        </is>
      </c>
      <c r="K20" s="72" t="inlineStr">
        <is>
          <t>B</t>
        </is>
      </c>
      <c r="L20" s="13" t="n">
        <v>86</v>
      </c>
      <c r="M20" s="13" t="n">
        <v>86</v>
      </c>
    </row>
    <row r="21" ht="22.95" customHeight="1" s="78">
      <c r="A21" s="79" t="n"/>
      <c r="B21" s="79" t="n"/>
      <c r="C21" s="79" t="n"/>
      <c r="D21" s="79" t="n"/>
      <c r="E21" s="79" t="n"/>
      <c r="F21" s="25">
        <f>ROW()-3</f>
        <v/>
      </c>
      <c r="G21" s="64" t="inlineStr">
        <is>
          <t>盖程伊</t>
        </is>
      </c>
      <c r="H21" s="72" t="n">
        <v>10</v>
      </c>
      <c r="I21" s="23" t="n">
        <v>87.58</v>
      </c>
      <c r="J21" s="26" t="inlineStr">
        <is>
          <t>B</t>
        </is>
      </c>
      <c r="K21" s="72" t="inlineStr">
        <is>
          <t>B</t>
        </is>
      </c>
      <c r="L21" s="13" t="n">
        <v>86</v>
      </c>
      <c r="M21" s="13" t="n">
        <v>86</v>
      </c>
    </row>
    <row r="22" ht="22.95" customHeight="1" s="78">
      <c r="A22" s="79" t="n"/>
      <c r="B22" s="79" t="n"/>
      <c r="C22" s="79" t="n"/>
      <c r="D22" s="79" t="n"/>
      <c r="E22" s="79" t="n"/>
      <c r="F22" s="25">
        <f>ROW()-3</f>
        <v/>
      </c>
      <c r="G22" s="64" t="inlineStr">
        <is>
          <t>王  晖</t>
        </is>
      </c>
      <c r="H22" s="72" t="n">
        <v>10</v>
      </c>
      <c r="I22" s="23" t="n">
        <v>84.05</v>
      </c>
      <c r="J22" s="26" t="inlineStr">
        <is>
          <t>B</t>
        </is>
      </c>
      <c r="K22" s="72" t="inlineStr">
        <is>
          <t>B</t>
        </is>
      </c>
      <c r="L22" s="13" t="n">
        <v>86</v>
      </c>
      <c r="M22" s="13" t="n">
        <v>86</v>
      </c>
    </row>
    <row r="23" ht="22.95" customHeight="1" s="78">
      <c r="A23" s="79" t="n"/>
      <c r="B23" s="79" t="n"/>
      <c r="C23" s="79" t="n"/>
      <c r="D23" s="79" t="n"/>
      <c r="E23" s="79" t="n"/>
      <c r="F23" s="25">
        <f>ROW()-3</f>
        <v/>
      </c>
      <c r="G23" s="64" t="inlineStr">
        <is>
          <t>林  功</t>
        </is>
      </c>
      <c r="H23" s="72" t="n">
        <v>13</v>
      </c>
      <c r="I23" s="23" t="n">
        <v>85.11</v>
      </c>
      <c r="J23" s="26" t="inlineStr">
        <is>
          <t>B</t>
        </is>
      </c>
      <c r="K23" s="72" t="inlineStr">
        <is>
          <t>B</t>
        </is>
      </c>
      <c r="L23" s="13" t="n">
        <v>85</v>
      </c>
      <c r="M23" s="13" t="n">
        <v>85</v>
      </c>
      <c r="N23" s="1" t="n"/>
    </row>
    <row r="24" ht="22.95" customHeight="1" s="78">
      <c r="A24" s="80" t="n"/>
      <c r="B24" s="80" t="n"/>
      <c r="C24" s="80" t="n"/>
      <c r="D24" s="80" t="n"/>
      <c r="E24" s="80" t="n"/>
      <c r="F24" s="25">
        <f>ROW()-3</f>
        <v/>
      </c>
      <c r="G24" s="64" t="inlineStr">
        <is>
          <t>许仁捷</t>
        </is>
      </c>
      <c r="H24" s="72" t="n">
        <v>13</v>
      </c>
      <c r="I24" s="23" t="n">
        <v>84.65000000000001</v>
      </c>
      <c r="J24" s="26" t="inlineStr">
        <is>
          <t>B</t>
        </is>
      </c>
      <c r="K24" s="72" t="inlineStr">
        <is>
          <t>B</t>
        </is>
      </c>
      <c r="L24" s="13" t="n">
        <v>85</v>
      </c>
      <c r="M24" s="13" t="n">
        <v>85</v>
      </c>
      <c r="N24" s="1" t="n"/>
    </row>
    <row r="25" ht="22.95" customHeight="1" s="78">
      <c r="A25" s="65" t="inlineStr">
        <is>
          <t>综合办公室</t>
        </is>
      </c>
      <c r="B25" s="65">
        <f>部门绩效考核!E7</f>
        <v/>
      </c>
      <c r="C25" s="65">
        <f>部门绩效考核!E4</f>
        <v/>
      </c>
      <c r="D25" s="65">
        <f>部门绩效考核!E5</f>
        <v/>
      </c>
      <c r="E25" s="65">
        <f>部门绩效考核!E6</f>
        <v/>
      </c>
      <c r="F25" s="25">
        <f>ROW()-3</f>
        <v/>
      </c>
      <c r="G25" s="64" t="inlineStr">
        <is>
          <t>阮  薇</t>
        </is>
      </c>
      <c r="H25" s="72" t="n">
        <v>1</v>
      </c>
      <c r="I25" s="23" t="n">
        <v>88.47</v>
      </c>
      <c r="J25" s="27" t="inlineStr">
        <is>
          <t>B</t>
        </is>
      </c>
      <c r="K25" s="72" t="inlineStr">
        <is>
          <t>B</t>
        </is>
      </c>
      <c r="L25" s="13" t="n">
        <v>91</v>
      </c>
      <c r="M25" s="13" t="n">
        <v>89</v>
      </c>
    </row>
    <row r="26" ht="22.95" customHeight="1" s="78">
      <c r="A26" s="79" t="n"/>
      <c r="B26" s="79" t="n"/>
      <c r="C26" s="79" t="n"/>
      <c r="D26" s="79" t="n"/>
      <c r="E26" s="79" t="n"/>
      <c r="F26" s="25">
        <f>ROW()-3</f>
        <v/>
      </c>
      <c r="G26" s="64" t="inlineStr">
        <is>
          <t>黄  敏</t>
        </is>
      </c>
      <c r="H26" s="72" t="n">
        <v>2</v>
      </c>
      <c r="I26" s="23" t="n">
        <v>91.78</v>
      </c>
      <c r="J26" s="26" t="inlineStr">
        <is>
          <t>A</t>
        </is>
      </c>
      <c r="K26" s="72" t="inlineStr">
        <is>
          <t>A</t>
        </is>
      </c>
      <c r="L26" s="13" t="n">
        <v>90</v>
      </c>
      <c r="M26" s="13" t="n">
        <v>88</v>
      </c>
    </row>
    <row r="27" ht="22.95" customHeight="1" s="78">
      <c r="A27" s="79" t="n"/>
      <c r="B27" s="79" t="n"/>
      <c r="C27" s="79" t="n"/>
      <c r="D27" s="79" t="n"/>
      <c r="E27" s="79" t="n"/>
      <c r="F27" s="25">
        <f>ROW()-3</f>
        <v/>
      </c>
      <c r="G27" s="64" t="inlineStr">
        <is>
          <t>郭晓惠</t>
        </is>
      </c>
      <c r="H27" s="72" t="n">
        <v>3</v>
      </c>
      <c r="I27" s="23" t="n">
        <v>87.42</v>
      </c>
      <c r="J27" s="26" t="inlineStr">
        <is>
          <t>B</t>
        </is>
      </c>
      <c r="K27" s="72" t="inlineStr">
        <is>
          <t>B</t>
        </is>
      </c>
      <c r="L27" s="13" t="n">
        <v>89</v>
      </c>
      <c r="M27" s="13" t="n">
        <v>87</v>
      </c>
    </row>
    <row r="28" ht="22.95" customHeight="1" s="78">
      <c r="A28" s="79" t="n"/>
      <c r="B28" s="79" t="n"/>
      <c r="C28" s="79" t="n"/>
      <c r="D28" s="79" t="n"/>
      <c r="E28" s="79" t="n"/>
      <c r="F28" s="25">
        <f>ROW()-3</f>
        <v/>
      </c>
      <c r="G28" s="64" t="inlineStr">
        <is>
          <t>潘朝亮</t>
        </is>
      </c>
      <c r="H28" s="72" t="n">
        <v>3</v>
      </c>
      <c r="I28" s="23" t="n">
        <v>89.69</v>
      </c>
      <c r="J28" s="26" t="inlineStr">
        <is>
          <t>B</t>
        </is>
      </c>
      <c r="K28" s="72" t="inlineStr">
        <is>
          <t>B</t>
        </is>
      </c>
      <c r="L28" s="13" t="n">
        <v>89</v>
      </c>
      <c r="M28" s="13" t="n">
        <v>87</v>
      </c>
    </row>
    <row r="29" ht="22.95" customHeight="1" s="78">
      <c r="A29" s="79" t="n"/>
      <c r="B29" s="79" t="n"/>
      <c r="C29" s="79" t="n"/>
      <c r="D29" s="79" t="n"/>
      <c r="E29" s="79" t="n"/>
      <c r="F29" s="25">
        <f>ROW()-3</f>
        <v/>
      </c>
      <c r="G29" s="64" t="inlineStr">
        <is>
          <t>江  华</t>
        </is>
      </c>
      <c r="H29" s="72" t="n">
        <v>5</v>
      </c>
      <c r="I29" s="23" t="n">
        <v>90.20999999999999</v>
      </c>
      <c r="J29" s="26" t="inlineStr">
        <is>
          <t>B</t>
        </is>
      </c>
      <c r="K29" s="72" t="inlineStr">
        <is>
          <t>B</t>
        </is>
      </c>
      <c r="L29" s="13" t="n">
        <v>88</v>
      </c>
      <c r="M29" s="13" t="n">
        <v>87</v>
      </c>
    </row>
    <row r="30" ht="22.95" customHeight="1" s="78">
      <c r="A30" s="79" t="n"/>
      <c r="B30" s="79" t="n"/>
      <c r="C30" s="79" t="n"/>
      <c r="D30" s="79" t="n"/>
      <c r="E30" s="79" t="n"/>
      <c r="F30" s="25">
        <f>ROW()-3</f>
        <v/>
      </c>
      <c r="G30" s="64" t="inlineStr">
        <is>
          <t>高鹤鸣</t>
        </is>
      </c>
      <c r="H30" s="72" t="n">
        <v>6</v>
      </c>
      <c r="I30" s="23" t="n">
        <v>86.62</v>
      </c>
      <c r="J30" s="26" t="inlineStr">
        <is>
          <t>B</t>
        </is>
      </c>
      <c r="K30" s="72" t="inlineStr">
        <is>
          <t>B</t>
        </is>
      </c>
      <c r="L30" s="13" t="n">
        <v>88</v>
      </c>
      <c r="M30" s="13" t="n">
        <v>86</v>
      </c>
    </row>
    <row r="31" ht="22.95" customHeight="1" s="78">
      <c r="A31" s="80" t="n"/>
      <c r="B31" s="80" t="n"/>
      <c r="C31" s="80" t="n"/>
      <c r="D31" s="80" t="n"/>
      <c r="E31" s="80" t="n"/>
      <c r="F31" s="25">
        <f>ROW()-3</f>
        <v/>
      </c>
      <c r="G31" s="64" t="inlineStr">
        <is>
          <t>蒋菲菲</t>
        </is>
      </c>
      <c r="H31" s="72" t="n">
        <v>7</v>
      </c>
      <c r="I31" s="23" t="n">
        <v>85.25</v>
      </c>
      <c r="J31" s="26" t="inlineStr">
        <is>
          <t>B</t>
        </is>
      </c>
      <c r="K31" s="72" t="inlineStr">
        <is>
          <t>B</t>
        </is>
      </c>
      <c r="L31" s="13" t="n">
        <v>87</v>
      </c>
      <c r="M31" s="13" t="n">
        <v>85</v>
      </c>
    </row>
    <row r="32" ht="22.95" customHeight="1" s="78">
      <c r="A32" s="64" t="inlineStr">
        <is>
          <t>投资拓展部</t>
        </is>
      </c>
      <c r="B32" s="65">
        <f>部门绩效考核!F7</f>
        <v/>
      </c>
      <c r="C32" s="65">
        <f>部门绩效考核!F4</f>
        <v/>
      </c>
      <c r="D32" s="65">
        <f>部门绩效考核!F5</f>
        <v/>
      </c>
      <c r="E32" s="65">
        <f>部门绩效考核!F6</f>
        <v/>
      </c>
      <c r="F32" s="25">
        <f>ROW()-3</f>
        <v/>
      </c>
      <c r="G32" s="64" t="inlineStr">
        <is>
          <t>陈心亮</t>
        </is>
      </c>
      <c r="H32" s="72" t="n">
        <v>1</v>
      </c>
      <c r="I32" s="23" t="n">
        <v>87.93000000000001</v>
      </c>
      <c r="J32" s="27" t="inlineStr">
        <is>
          <t>A</t>
        </is>
      </c>
      <c r="K32" s="72" t="inlineStr">
        <is>
          <t>A</t>
        </is>
      </c>
      <c r="L32" s="13" t="n">
        <v>89</v>
      </c>
      <c r="M32" s="13" t="n">
        <v>89</v>
      </c>
    </row>
    <row r="33" ht="22.95" customHeight="1" s="78">
      <c r="A33" s="79" t="n"/>
      <c r="B33" s="79" t="n"/>
      <c r="C33" s="79" t="n"/>
      <c r="D33" s="79" t="n"/>
      <c r="E33" s="79" t="n"/>
      <c r="F33" s="25">
        <f>ROW()-3</f>
        <v/>
      </c>
      <c r="G33" s="64" t="inlineStr">
        <is>
          <t>张彬倩</t>
        </is>
      </c>
      <c r="H33" s="72" t="n">
        <v>1</v>
      </c>
      <c r="I33" s="23" t="n">
        <v>86.63</v>
      </c>
      <c r="J33" s="26" t="inlineStr">
        <is>
          <t>B</t>
        </is>
      </c>
      <c r="K33" s="72" t="inlineStr">
        <is>
          <t>B</t>
        </is>
      </c>
      <c r="L33" s="13" t="n">
        <v>89</v>
      </c>
      <c r="M33" s="13" t="n">
        <v>89</v>
      </c>
    </row>
    <row r="34" ht="22.95" customHeight="1" s="78">
      <c r="A34" s="79" t="n"/>
      <c r="B34" s="79" t="n"/>
      <c r="C34" s="79" t="n"/>
      <c r="D34" s="79" t="n"/>
      <c r="E34" s="79" t="n"/>
      <c r="F34" s="25">
        <f>ROW()-3</f>
        <v/>
      </c>
      <c r="G34" s="64" t="inlineStr">
        <is>
          <t>胡世伟</t>
        </is>
      </c>
      <c r="H34" s="72" t="n">
        <v>3</v>
      </c>
      <c r="I34" s="23" t="n">
        <v>84.95999999999999</v>
      </c>
      <c r="J34" s="26" t="inlineStr">
        <is>
          <t>B</t>
        </is>
      </c>
      <c r="K34" s="72" t="inlineStr">
        <is>
          <t>B</t>
        </is>
      </c>
      <c r="L34" s="13" t="n">
        <v>87</v>
      </c>
      <c r="M34" s="13" t="n">
        <v>87</v>
      </c>
    </row>
    <row r="35" ht="22.95" customHeight="1" s="78">
      <c r="A35" s="80" t="n"/>
      <c r="B35" s="80" t="n"/>
      <c r="C35" s="80" t="n"/>
      <c r="D35" s="80" t="n"/>
      <c r="E35" s="80" t="n"/>
      <c r="F35" s="25">
        <f>ROW()-3</f>
        <v/>
      </c>
      <c r="G35" s="64" t="inlineStr">
        <is>
          <t>鲜卓曦</t>
        </is>
      </c>
      <c r="H35" s="72" t="n">
        <v>4</v>
      </c>
      <c r="I35" s="23" t="n">
        <v>85.47</v>
      </c>
      <c r="J35" s="26" t="inlineStr">
        <is>
          <t>B</t>
        </is>
      </c>
      <c r="K35" s="72" t="inlineStr">
        <is>
          <t>B</t>
        </is>
      </c>
      <c r="L35" s="13" t="n">
        <v>86</v>
      </c>
      <c r="M35" s="13" t="n">
        <v>86</v>
      </c>
    </row>
    <row r="36" ht="22.95" customHeight="1" s="78">
      <c r="A36" s="65" t="inlineStr">
        <is>
          <t>项目管理部</t>
        </is>
      </c>
      <c r="B36" s="65" t="inlineStr">
        <is>
          <t>张云旭</t>
        </is>
      </c>
      <c r="C36" s="65">
        <f>部门绩效考核!G4</f>
        <v/>
      </c>
      <c r="D36" s="65">
        <f>部门绩效考核!G5</f>
        <v/>
      </c>
      <c r="E36" s="65">
        <f>部门绩效考核!G6</f>
        <v/>
      </c>
      <c r="F36" s="25">
        <f>ROW()-3</f>
        <v/>
      </c>
      <c r="G36" s="64" t="inlineStr">
        <is>
          <t>郑春鑫</t>
        </is>
      </c>
      <c r="H36" s="72" t="n">
        <v>1</v>
      </c>
      <c r="I36" s="23" t="n">
        <v>89.97</v>
      </c>
      <c r="J36" s="26" t="inlineStr">
        <is>
          <t>B</t>
        </is>
      </c>
      <c r="K36" s="72" t="inlineStr">
        <is>
          <t>A</t>
        </is>
      </c>
      <c r="L36" s="13" t="n">
        <v>90</v>
      </c>
      <c r="M36" s="13" t="n">
        <v>90</v>
      </c>
    </row>
    <row r="37" ht="22.95" customHeight="1" s="78">
      <c r="A37" s="79" t="n"/>
      <c r="B37" s="79" t="n"/>
      <c r="C37" s="79" t="n"/>
      <c r="D37" s="79" t="n"/>
      <c r="E37" s="79" t="n"/>
      <c r="F37" s="25">
        <f>ROW()-3</f>
        <v/>
      </c>
      <c r="G37" s="64" t="inlineStr">
        <is>
          <t>陈世杰</t>
        </is>
      </c>
      <c r="H37" s="72" t="n">
        <v>2</v>
      </c>
      <c r="I37" s="23" t="n">
        <v>89.98</v>
      </c>
      <c r="J37" s="26" t="inlineStr">
        <is>
          <t>B</t>
        </is>
      </c>
      <c r="K37" s="72" t="inlineStr">
        <is>
          <t>B</t>
        </is>
      </c>
      <c r="L37" s="13" t="n">
        <v>89</v>
      </c>
      <c r="M37" s="13" t="n">
        <v>89</v>
      </c>
    </row>
    <row r="38" ht="22.95" customHeight="1" s="78">
      <c r="A38" s="79" t="n"/>
      <c r="B38" s="79" t="n"/>
      <c r="C38" s="79" t="n"/>
      <c r="D38" s="79" t="n"/>
      <c r="E38" s="79" t="n"/>
      <c r="F38" s="25">
        <f>ROW()-3</f>
        <v/>
      </c>
      <c r="G38" s="64" t="inlineStr">
        <is>
          <t>林敬楠</t>
        </is>
      </c>
      <c r="H38" s="72" t="n">
        <v>3</v>
      </c>
      <c r="I38" s="23" t="n">
        <v>88</v>
      </c>
      <c r="J38" s="26" t="inlineStr">
        <is>
          <t>B</t>
        </is>
      </c>
      <c r="K38" s="72" t="inlineStr">
        <is>
          <t>B</t>
        </is>
      </c>
      <c r="L38" s="13" t="n">
        <v>88</v>
      </c>
      <c r="M38" s="13" t="n">
        <v>89</v>
      </c>
    </row>
    <row r="39" ht="22.95" customHeight="1" s="78">
      <c r="A39" s="79" t="n"/>
      <c r="B39" s="79" t="n"/>
      <c r="C39" s="79" t="n"/>
      <c r="D39" s="79" t="n"/>
      <c r="E39" s="79" t="n"/>
      <c r="F39" s="25">
        <f>ROW()-3</f>
        <v/>
      </c>
      <c r="G39" s="64" t="inlineStr">
        <is>
          <t>兰  枫</t>
        </is>
      </c>
      <c r="H39" s="72" t="n">
        <v>3</v>
      </c>
      <c r="I39" s="23" t="n">
        <v>90.16</v>
      </c>
      <c r="J39" s="26" t="inlineStr">
        <is>
          <t>A</t>
        </is>
      </c>
      <c r="K39" s="72" t="inlineStr">
        <is>
          <t>B</t>
        </is>
      </c>
      <c r="L39" s="13" t="n">
        <v>88</v>
      </c>
      <c r="M39" s="13" t="n">
        <v>89</v>
      </c>
    </row>
    <row r="40" ht="22.95" customHeight="1" s="78">
      <c r="A40" s="79" t="n"/>
      <c r="B40" s="79" t="n"/>
      <c r="C40" s="79" t="n"/>
      <c r="D40" s="79" t="n"/>
      <c r="E40" s="79" t="n"/>
      <c r="F40" s="25">
        <f>ROW()-3</f>
        <v/>
      </c>
      <c r="G40" s="64" t="inlineStr">
        <is>
          <t>林奇星</t>
        </is>
      </c>
      <c r="H40" s="72" t="n">
        <v>5</v>
      </c>
      <c r="I40" s="23" t="n">
        <v>84.81999999999999</v>
      </c>
      <c r="J40" s="26" t="inlineStr">
        <is>
          <t>B</t>
        </is>
      </c>
      <c r="K40" s="72" t="inlineStr">
        <is>
          <t>B</t>
        </is>
      </c>
      <c r="L40" s="13" t="n">
        <v>87</v>
      </c>
      <c r="M40" s="13" t="n">
        <v>88</v>
      </c>
    </row>
    <row r="41" ht="25.05" customHeight="1" s="78">
      <c r="A41" s="79" t="n"/>
      <c r="B41" s="79" t="n"/>
      <c r="C41" s="79" t="n"/>
      <c r="D41" s="79" t="n"/>
      <c r="E41" s="79" t="n"/>
      <c r="F41" s="25">
        <f>ROW()-3</f>
        <v/>
      </c>
      <c r="G41" s="64" t="inlineStr">
        <is>
          <t>黄  杰</t>
        </is>
      </c>
      <c r="H41" s="72" t="n">
        <v>6</v>
      </c>
      <c r="I41" s="23" t="n">
        <v>84.13</v>
      </c>
      <c r="J41" s="26" t="inlineStr">
        <is>
          <t>B</t>
        </is>
      </c>
      <c r="K41" s="72" t="inlineStr">
        <is>
          <t>B</t>
        </is>
      </c>
      <c r="L41" s="13" t="n">
        <v>86</v>
      </c>
      <c r="M41" s="13" t="n">
        <v>87</v>
      </c>
    </row>
    <row r="42" ht="22.95" customHeight="1" s="78">
      <c r="A42" s="79" t="n"/>
      <c r="B42" s="79" t="n"/>
      <c r="C42" s="79" t="n"/>
      <c r="D42" s="79" t="n"/>
      <c r="E42" s="79" t="n"/>
      <c r="F42" s="25">
        <f>ROW()-3</f>
        <v/>
      </c>
      <c r="G42" s="64" t="inlineStr">
        <is>
          <t>鲍长杰</t>
        </is>
      </c>
      <c r="H42" s="72" t="n">
        <v>6</v>
      </c>
      <c r="I42" s="23" t="n">
        <v>85.11</v>
      </c>
      <c r="J42" s="26" t="inlineStr">
        <is>
          <t>B</t>
        </is>
      </c>
      <c r="K42" s="72" t="inlineStr">
        <is>
          <t>B</t>
        </is>
      </c>
      <c r="L42" s="13" t="n">
        <v>86</v>
      </c>
      <c r="M42" s="13" t="n">
        <v>87</v>
      </c>
    </row>
    <row r="43" ht="22.95" customFormat="1" customHeight="1" s="13">
      <c r="A43" s="79" t="n"/>
      <c r="B43" s="79" t="n"/>
      <c r="C43" s="79" t="n"/>
      <c r="D43" s="79" t="n"/>
      <c r="E43" s="79" t="n"/>
      <c r="F43" s="25">
        <f>ROW()-3</f>
        <v/>
      </c>
      <c r="G43" s="64" t="inlineStr">
        <is>
          <t>李柏洋</t>
        </is>
      </c>
      <c r="H43" s="72" t="n">
        <v>8</v>
      </c>
      <c r="I43" s="23" t="n">
        <v>83.3</v>
      </c>
      <c r="J43" s="26" t="inlineStr">
        <is>
          <t>B</t>
        </is>
      </c>
      <c r="K43" s="72" t="inlineStr">
        <is>
          <t>B</t>
        </is>
      </c>
      <c r="L43" s="13" t="n">
        <v>85</v>
      </c>
      <c r="M43" s="13" t="n">
        <v>86</v>
      </c>
    </row>
    <row r="44" ht="22.95" customFormat="1" customHeight="1" s="13">
      <c r="A44" s="80" t="n"/>
      <c r="B44" s="80" t="n"/>
      <c r="C44" s="80" t="n"/>
      <c r="D44" s="80" t="n"/>
      <c r="E44" s="80" t="n"/>
      <c r="F44" s="25">
        <f>ROW()-3</f>
        <v/>
      </c>
      <c r="G44" s="64" t="inlineStr">
        <is>
          <t>邓  越</t>
        </is>
      </c>
      <c r="H44" s="72" t="n">
        <v>9</v>
      </c>
      <c r="I44" s="23" t="n">
        <v>86.23999999999999</v>
      </c>
      <c r="J44" s="26" t="inlineStr">
        <is>
          <t>B</t>
        </is>
      </c>
      <c r="K44" s="72" t="inlineStr">
        <is>
          <t>B</t>
        </is>
      </c>
      <c r="L44" s="13" t="n">
        <v>84</v>
      </c>
      <c r="M44" s="13" t="n">
        <v>85</v>
      </c>
    </row>
    <row r="45" ht="22.95" customHeight="1" s="78">
      <c r="A45" s="68" t="inlineStr">
        <is>
          <t>设计管理部</t>
        </is>
      </c>
      <c r="B45" s="68">
        <f>部门绩效考核!H7</f>
        <v/>
      </c>
      <c r="C45" s="68">
        <f>部门绩效考核!H4</f>
        <v/>
      </c>
      <c r="D45" s="68">
        <f>部门绩效考核!H5</f>
        <v/>
      </c>
      <c r="E45" s="62">
        <f>部门绩效考核!H6</f>
        <v/>
      </c>
      <c r="F45" s="72">
        <f>ROW()-3</f>
        <v/>
      </c>
      <c r="G45" s="64" t="inlineStr">
        <is>
          <t>谭  圆</t>
        </is>
      </c>
      <c r="H45" s="72" t="n">
        <v>1</v>
      </c>
      <c r="I45" s="23" t="n">
        <v>90.19</v>
      </c>
      <c r="J45" s="27" t="inlineStr">
        <is>
          <t>A</t>
        </is>
      </c>
      <c r="K45" s="72" t="inlineStr">
        <is>
          <t>B</t>
        </is>
      </c>
      <c r="L45" s="13" t="n">
        <v>88</v>
      </c>
      <c r="M45" s="13" t="n">
        <v>88</v>
      </c>
    </row>
    <row r="46" ht="22.95" customHeight="1" s="78">
      <c r="A46" s="79" t="n"/>
      <c r="B46" s="79" t="n"/>
      <c r="C46" s="79" t="n"/>
      <c r="D46" s="79" t="n"/>
      <c r="E46" s="79" t="n"/>
      <c r="F46" s="72">
        <f>ROW()-3</f>
        <v/>
      </c>
      <c r="G46" s="64" t="inlineStr">
        <is>
          <t>郑长健</t>
        </is>
      </c>
      <c r="H46" s="72" t="n">
        <v>2</v>
      </c>
      <c r="I46" s="23" t="n">
        <v>87.95</v>
      </c>
      <c r="J46" s="26" t="inlineStr">
        <is>
          <t>B</t>
        </is>
      </c>
      <c r="K46" s="72" t="inlineStr">
        <is>
          <t>B</t>
        </is>
      </c>
      <c r="L46" s="13" t="n">
        <v>86</v>
      </c>
      <c r="M46" s="13" t="n">
        <v>86</v>
      </c>
    </row>
    <row r="47" ht="22.95" customHeight="1" s="78">
      <c r="A47" s="79" t="n"/>
      <c r="B47" s="79" t="n"/>
      <c r="C47" s="79" t="n"/>
      <c r="D47" s="79" t="n"/>
      <c r="E47" s="79" t="n"/>
      <c r="F47" s="72">
        <f>ROW()-3</f>
        <v/>
      </c>
      <c r="G47" s="64" t="inlineStr">
        <is>
          <t>赵朕昕</t>
        </is>
      </c>
      <c r="H47" s="72" t="n">
        <v>3</v>
      </c>
      <c r="I47" s="23" t="n">
        <v>82.01000000000001</v>
      </c>
      <c r="J47" s="26" t="inlineStr">
        <is>
          <t>B</t>
        </is>
      </c>
      <c r="K47" s="72" t="inlineStr">
        <is>
          <t>A</t>
        </is>
      </c>
      <c r="L47" s="13" t="n">
        <v>85</v>
      </c>
      <c r="M47" s="13" t="n">
        <v>85</v>
      </c>
    </row>
    <row r="48" ht="22.95" customHeight="1" s="78">
      <c r="A48" s="65" t="inlineStr">
        <is>
          <t>财务部</t>
        </is>
      </c>
      <c r="B48" s="65">
        <f>部门绩效考核!I7</f>
        <v/>
      </c>
      <c r="C48" s="65">
        <f>部门绩效考核!I4</f>
        <v/>
      </c>
      <c r="D48" s="65">
        <f>部门绩效考核!I5</f>
        <v/>
      </c>
      <c r="E48" s="64">
        <f>部门绩效考核!I6</f>
        <v/>
      </c>
      <c r="F48" s="25">
        <f>ROW()-3</f>
        <v/>
      </c>
      <c r="G48" s="64" t="inlineStr">
        <is>
          <t>魏  琳</t>
        </is>
      </c>
      <c r="H48" s="72" t="n">
        <v>1</v>
      </c>
      <c r="I48" s="23" t="n">
        <v>85.62</v>
      </c>
      <c r="J48" s="27" t="inlineStr">
        <is>
          <t>A</t>
        </is>
      </c>
      <c r="K48" s="72" t="inlineStr">
        <is>
          <t>B</t>
        </is>
      </c>
      <c r="L48" s="13" t="n">
        <v>90</v>
      </c>
      <c r="M48" s="13" t="n">
        <v>79</v>
      </c>
    </row>
    <row r="49" ht="22.95" customHeight="1" s="78">
      <c r="A49" s="79" t="n"/>
      <c r="B49" s="79" t="n"/>
      <c r="C49" s="79" t="n"/>
      <c r="D49" s="79" t="n"/>
      <c r="E49" s="79" t="n"/>
      <c r="F49" s="25">
        <f>ROW()-3</f>
        <v/>
      </c>
      <c r="G49" s="64" t="inlineStr">
        <is>
          <t>林  萱</t>
        </is>
      </c>
      <c r="H49" s="72" t="n">
        <v>2</v>
      </c>
      <c r="I49" s="23" t="n">
        <v>82.97</v>
      </c>
      <c r="J49" s="26" t="inlineStr">
        <is>
          <t>B</t>
        </is>
      </c>
      <c r="K49" s="72" t="inlineStr">
        <is>
          <t>B</t>
        </is>
      </c>
      <c r="L49" s="13" t="n">
        <v>88</v>
      </c>
      <c r="M49" s="13" t="n">
        <v>80</v>
      </c>
    </row>
    <row r="50" ht="22.95" customHeight="1" s="78">
      <c r="A50" s="79" t="n"/>
      <c r="B50" s="79" t="n"/>
      <c r="C50" s="79" t="n"/>
      <c r="D50" s="79" t="n"/>
      <c r="E50" s="79" t="n"/>
      <c r="F50" s="25">
        <f>ROW()-3</f>
        <v/>
      </c>
      <c r="G50" s="64" t="inlineStr">
        <is>
          <t>庄萍萍</t>
        </is>
      </c>
      <c r="H50" s="72" t="n">
        <v>3</v>
      </c>
      <c r="I50" s="23" t="n">
        <v>79.33</v>
      </c>
      <c r="J50" s="26" t="inlineStr">
        <is>
          <t>B</t>
        </is>
      </c>
      <c r="K50" s="72" t="inlineStr">
        <is>
          <t>A</t>
        </is>
      </c>
      <c r="L50" s="13" t="n">
        <v>91</v>
      </c>
      <c r="M50" s="13" t="n">
        <v>76</v>
      </c>
    </row>
    <row r="51" ht="22.95" customFormat="1" customHeight="1" s="13">
      <c r="A51" s="80" t="n"/>
      <c r="B51" s="80" t="n"/>
      <c r="C51" s="80" t="n"/>
      <c r="D51" s="80" t="n"/>
      <c r="E51" s="80" t="n"/>
      <c r="F51" s="25">
        <f>ROW()-3</f>
        <v/>
      </c>
      <c r="G51" s="64" t="inlineStr">
        <is>
          <t>刘  燕</t>
        </is>
      </c>
      <c r="H51" s="72" t="n">
        <v>4</v>
      </c>
      <c r="I51" s="23" t="n">
        <v>80.01000000000001</v>
      </c>
      <c r="J51" s="26" t="inlineStr">
        <is>
          <t>B</t>
        </is>
      </c>
      <c r="K51" s="72" t="inlineStr">
        <is>
          <t>B</t>
        </is>
      </c>
      <c r="L51" s="13" t="n">
        <v>88</v>
      </c>
      <c r="M51" s="13" t="n">
        <v>74.5</v>
      </c>
      <c r="N51" s="31" t="n"/>
    </row>
    <row r="52" ht="22.95" customFormat="1" customHeight="1" s="13">
      <c r="A52" s="65" t="inlineStr">
        <is>
          <t>党群纪检审计部</t>
        </is>
      </c>
      <c r="B52" s="65">
        <f>部门绩效考核!J7</f>
        <v/>
      </c>
      <c r="C52" s="65">
        <f>部门绩效考核!J4</f>
        <v/>
      </c>
      <c r="D52" s="65">
        <f>部门绩效考核!J5</f>
        <v/>
      </c>
      <c r="E52" s="64">
        <f>部门绩效考核!J6</f>
        <v/>
      </c>
      <c r="F52" s="25">
        <f>ROW()-3</f>
        <v/>
      </c>
      <c r="G52" s="64" t="inlineStr">
        <is>
          <t>陈佳欐</t>
        </is>
      </c>
      <c r="H52" s="72" t="n">
        <v>1</v>
      </c>
      <c r="I52" s="23" t="n">
        <v>90.14</v>
      </c>
      <c r="J52" s="27" t="inlineStr">
        <is>
          <t>A</t>
        </is>
      </c>
      <c r="K52" s="72" t="inlineStr">
        <is>
          <t>B</t>
        </is>
      </c>
      <c r="L52" s="13" t="n">
        <v>90</v>
      </c>
      <c r="M52" s="13" t="n">
        <v>89</v>
      </c>
      <c r="N52" s="31" t="n"/>
    </row>
    <row r="53" ht="22.95" customFormat="1" customHeight="1" s="13">
      <c r="A53" s="79" t="n"/>
      <c r="B53" s="79" t="n"/>
      <c r="C53" s="79" t="n"/>
      <c r="D53" s="79" t="n"/>
      <c r="E53" s="79" t="n"/>
      <c r="F53" s="25">
        <f>ROW()-3</f>
        <v/>
      </c>
      <c r="G53" s="64" t="inlineStr">
        <is>
          <t>陈宗钰</t>
        </is>
      </c>
      <c r="H53" s="72" t="n">
        <v>2</v>
      </c>
      <c r="I53" s="23" t="n">
        <v>87.79000000000001</v>
      </c>
      <c r="J53" s="26" t="inlineStr">
        <is>
          <t>B</t>
        </is>
      </c>
      <c r="K53" s="72" t="inlineStr">
        <is>
          <t>B</t>
        </is>
      </c>
      <c r="L53" s="13" t="n">
        <v>89</v>
      </c>
      <c r="M53" s="13" t="n">
        <v>87</v>
      </c>
      <c r="N53" s="31" t="n"/>
    </row>
    <row r="54" ht="22.95" customFormat="1" customHeight="1" s="13">
      <c r="A54" s="79" t="n"/>
      <c r="B54" s="79" t="n"/>
      <c r="C54" s="79" t="n"/>
      <c r="D54" s="79" t="n"/>
      <c r="E54" s="79" t="n"/>
      <c r="F54" s="25">
        <f>ROW()-3</f>
        <v/>
      </c>
      <c r="G54" s="64" t="inlineStr">
        <is>
          <t>仇静凯</t>
        </is>
      </c>
      <c r="H54" s="72" t="n">
        <v>3</v>
      </c>
      <c r="I54" s="23" t="n">
        <v>87.05</v>
      </c>
      <c r="J54" s="26" t="inlineStr">
        <is>
          <t>B</t>
        </is>
      </c>
      <c r="K54" s="72" t="inlineStr">
        <is>
          <t>A</t>
        </is>
      </c>
      <c r="L54" s="13" t="n">
        <v>88</v>
      </c>
      <c r="M54" s="13" t="n">
        <v>87</v>
      </c>
      <c r="N54" s="31" t="n"/>
    </row>
    <row r="55" ht="22.95" customFormat="1" customHeight="1" s="13">
      <c r="A55" s="80" t="n"/>
      <c r="B55" s="80" t="n"/>
      <c r="C55" s="80" t="n"/>
      <c r="D55" s="80" t="n"/>
      <c r="E55" s="80" t="n"/>
      <c r="F55" s="25">
        <f>ROW()-3</f>
        <v/>
      </c>
      <c r="G55" s="64" t="inlineStr">
        <is>
          <t>张  琪</t>
        </is>
      </c>
      <c r="H55" s="72" t="n">
        <v>4</v>
      </c>
      <c r="I55" s="23" t="n">
        <v>81.11</v>
      </c>
      <c r="J55" s="26" t="inlineStr">
        <is>
          <t>B</t>
        </is>
      </c>
      <c r="K55" s="72" t="inlineStr">
        <is>
          <t>B</t>
        </is>
      </c>
      <c r="L55" s="13" t="n">
        <v>85</v>
      </c>
      <c r="M55" s="13" t="n">
        <v>83</v>
      </c>
      <c r="N55" s="31" t="n"/>
    </row>
    <row r="56" ht="22.95" customHeight="1" s="78">
      <c r="A56" s="65" t="inlineStr">
        <is>
          <t>造价合约部</t>
        </is>
      </c>
      <c r="B56" s="65" t="inlineStr">
        <is>
          <t>张云旭</t>
        </is>
      </c>
      <c r="C56" s="65">
        <f>部门绩效考核!K4</f>
        <v/>
      </c>
      <c r="D56" s="65">
        <f>部门绩效考核!K5</f>
        <v/>
      </c>
      <c r="E56" s="65">
        <f>部门绩效考核!K6</f>
        <v/>
      </c>
      <c r="F56" s="25">
        <f>ROW()-3</f>
        <v/>
      </c>
      <c r="G56" s="64" t="inlineStr">
        <is>
          <t>华海金</t>
        </is>
      </c>
      <c r="H56" s="72" t="n">
        <v>1</v>
      </c>
      <c r="I56" s="23" t="n">
        <v>89</v>
      </c>
      <c r="J56" s="27" t="inlineStr">
        <is>
          <t>A</t>
        </is>
      </c>
      <c r="K56" s="72" t="inlineStr">
        <is>
          <t>B</t>
        </is>
      </c>
      <c r="L56" s="13" t="n">
        <v>91</v>
      </c>
      <c r="M56" s="13" t="n">
        <v>90</v>
      </c>
    </row>
    <row r="57" ht="22.95" customHeight="1" s="78">
      <c r="A57" s="79" t="n"/>
      <c r="B57" s="79" t="n"/>
      <c r="C57" s="79" t="n"/>
      <c r="D57" s="79" t="n"/>
      <c r="E57" s="79" t="n"/>
      <c r="F57" s="25">
        <f>ROW()-3</f>
        <v/>
      </c>
      <c r="G57" s="64" t="inlineStr">
        <is>
          <t>陈文君</t>
        </is>
      </c>
      <c r="H57" s="72" t="n">
        <v>2</v>
      </c>
      <c r="I57" s="23" t="n">
        <v>87.19</v>
      </c>
      <c r="J57" s="26" t="inlineStr">
        <is>
          <t>B</t>
        </is>
      </c>
      <c r="K57" s="72" t="inlineStr">
        <is>
          <t>B</t>
        </is>
      </c>
      <c r="L57" s="13" t="n">
        <v>90</v>
      </c>
      <c r="M57" s="13" t="n">
        <v>89</v>
      </c>
    </row>
    <row r="58" ht="22.95" customHeight="1" s="78">
      <c r="A58" s="80" t="n"/>
      <c r="B58" s="80" t="n"/>
      <c r="C58" s="80" t="n"/>
      <c r="D58" s="80" t="n"/>
      <c r="E58" s="80" t="n"/>
      <c r="F58" s="25">
        <f>ROW()-3</f>
        <v/>
      </c>
      <c r="G58" s="64" t="inlineStr">
        <is>
          <t>陈  颖</t>
        </is>
      </c>
      <c r="H58" s="72" t="n">
        <v>3</v>
      </c>
      <c r="I58" s="23" t="n">
        <v>87.13</v>
      </c>
      <c r="J58" s="26" t="inlineStr">
        <is>
          <t>B</t>
        </is>
      </c>
      <c r="K58" s="72" t="inlineStr">
        <is>
          <t>B</t>
        </is>
      </c>
      <c r="L58" s="13" t="n">
        <v>89</v>
      </c>
      <c r="M58" s="13" t="n">
        <v>88</v>
      </c>
    </row>
    <row r="59" ht="22.95" customHeight="1" s="78">
      <c r="A59" s="65" t="inlineStr">
        <is>
          <t>质量安全部</t>
        </is>
      </c>
      <c r="B59" s="65">
        <f>部门绩效考核!L7</f>
        <v/>
      </c>
      <c r="C59" s="65">
        <f>部门绩效考核!L4</f>
        <v/>
      </c>
      <c r="D59" s="65">
        <f>部门绩效考核!L5</f>
        <v/>
      </c>
      <c r="E59" s="64">
        <f>部门绩效考核!L6</f>
        <v/>
      </c>
      <c r="F59" s="25">
        <f>ROW()-3</f>
        <v/>
      </c>
      <c r="G59" s="64" t="inlineStr">
        <is>
          <t>张  荣</t>
        </is>
      </c>
      <c r="H59" s="72" t="n">
        <v>1</v>
      </c>
      <c r="I59" s="23" t="n">
        <v>93.29000000000001</v>
      </c>
      <c r="J59" s="27" t="inlineStr">
        <is>
          <t>A</t>
        </is>
      </c>
      <c r="K59" s="72" t="inlineStr">
        <is>
          <t>A</t>
        </is>
      </c>
      <c r="L59" s="13" t="n">
        <v>91</v>
      </c>
      <c r="M59" s="13" t="n">
        <v>91</v>
      </c>
    </row>
    <row r="60" ht="22.95" customHeight="1" s="78">
      <c r="A60" s="79" t="n"/>
      <c r="B60" s="79" t="n"/>
      <c r="C60" s="79" t="n"/>
      <c r="D60" s="79" t="n"/>
      <c r="E60" s="79" t="n"/>
      <c r="F60" s="25">
        <f>ROW()-3</f>
        <v/>
      </c>
      <c r="G60" s="64" t="inlineStr">
        <is>
          <t>陈培伦</t>
        </is>
      </c>
      <c r="H60" s="72" t="n">
        <v>2</v>
      </c>
      <c r="I60" s="23" t="n">
        <v>88.91</v>
      </c>
      <c r="J60" s="26" t="inlineStr">
        <is>
          <t>B</t>
        </is>
      </c>
      <c r="K60" s="72" t="inlineStr">
        <is>
          <t>B</t>
        </is>
      </c>
      <c r="L60" s="13" t="n">
        <v>89</v>
      </c>
      <c r="M60" s="13" t="n">
        <v>89</v>
      </c>
    </row>
    <row r="61" ht="22.95" customHeight="1" s="78">
      <c r="A61" s="79" t="n"/>
      <c r="B61" s="79" t="n"/>
      <c r="C61" s="79" t="n"/>
      <c r="D61" s="79" t="n"/>
      <c r="E61" s="79" t="n"/>
      <c r="F61" s="25">
        <f>ROW()-3</f>
        <v/>
      </c>
      <c r="G61" s="64" t="inlineStr">
        <is>
          <t>林兆荣</t>
        </is>
      </c>
      <c r="H61" s="72" t="n">
        <v>3</v>
      </c>
      <c r="I61" s="23" t="n">
        <v>85.17</v>
      </c>
      <c r="J61" s="26" t="inlineStr">
        <is>
          <t>B</t>
        </is>
      </c>
      <c r="K61" s="72" t="inlineStr">
        <is>
          <t>B</t>
        </is>
      </c>
      <c r="L61" s="13" t="n">
        <v>88</v>
      </c>
      <c r="M61" s="13" t="n">
        <v>88</v>
      </c>
    </row>
    <row r="62" ht="22.95" customHeight="1" s="78">
      <c r="A62" s="80" t="n"/>
      <c r="B62" s="80" t="n"/>
      <c r="C62" s="80" t="n"/>
      <c r="D62" s="80" t="n"/>
      <c r="E62" s="80" t="n"/>
      <c r="F62" s="25">
        <f>ROW()-3</f>
        <v/>
      </c>
      <c r="G62" s="64" t="inlineStr">
        <is>
          <t>陈  锟</t>
        </is>
      </c>
      <c r="H62" s="72" t="n">
        <v>4</v>
      </c>
      <c r="I62" s="23" t="n">
        <v>87.78</v>
      </c>
      <c r="J62" s="26" t="inlineStr">
        <is>
          <t>B</t>
        </is>
      </c>
      <c r="K62" s="72" t="inlineStr">
        <is>
          <t>B</t>
        </is>
      </c>
      <c r="L62" s="13" t="n">
        <v>87</v>
      </c>
      <c r="M62" s="13" t="n">
        <v>87</v>
      </c>
      <c r="N62" s="1" t="n"/>
    </row>
    <row r="63" ht="22.95" customHeight="1" s="78">
      <c r="A63" s="65" t="inlineStr">
        <is>
          <t>资产管理部</t>
        </is>
      </c>
      <c r="B63" s="65">
        <f>部门绩效考核!M7</f>
        <v/>
      </c>
      <c r="C63" s="65">
        <f>部门绩效考核!M4</f>
        <v/>
      </c>
      <c r="D63" s="65">
        <f>部门绩效考核!M5</f>
        <v/>
      </c>
      <c r="E63" s="64">
        <f>部门绩效考核!M6</f>
        <v/>
      </c>
      <c r="F63" s="25">
        <f>ROW()-3</f>
        <v/>
      </c>
      <c r="G63" s="64" t="inlineStr">
        <is>
          <t>林文志</t>
        </is>
      </c>
      <c r="H63" s="72" t="n">
        <v>1</v>
      </c>
      <c r="I63" s="23" t="n">
        <v>93.40000000000001</v>
      </c>
      <c r="J63" s="27" t="inlineStr">
        <is>
          <t>A</t>
        </is>
      </c>
      <c r="K63" s="72" t="inlineStr">
        <is>
          <t>B</t>
        </is>
      </c>
      <c r="L63" s="13" t="n">
        <v>91</v>
      </c>
      <c r="M63" s="13" t="n">
        <v>92</v>
      </c>
    </row>
    <row r="64" ht="22.95" customHeight="1" s="78">
      <c r="A64" s="79" t="n"/>
      <c r="B64" s="79" t="n"/>
      <c r="C64" s="79" t="n"/>
      <c r="D64" s="79" t="n"/>
      <c r="E64" s="79" t="n"/>
      <c r="F64" s="25">
        <f>ROW()-3</f>
        <v/>
      </c>
      <c r="G64" s="64" t="inlineStr">
        <is>
          <t>李晨飞</t>
        </is>
      </c>
      <c r="H64" s="72" t="n">
        <v>2</v>
      </c>
      <c r="I64" s="23" t="n">
        <v>91.86</v>
      </c>
      <c r="J64" s="26" t="inlineStr">
        <is>
          <t>B</t>
        </is>
      </c>
      <c r="K64" s="72" t="inlineStr">
        <is>
          <t>B</t>
        </is>
      </c>
      <c r="L64" s="13" t="n">
        <v>90</v>
      </c>
      <c r="M64" s="13" t="n">
        <v>91</v>
      </c>
    </row>
    <row r="65" ht="22.95" customHeight="1" s="78">
      <c r="A65" s="79" t="n"/>
      <c r="B65" s="79" t="n"/>
      <c r="C65" s="79" t="n"/>
      <c r="D65" s="79" t="n"/>
      <c r="E65" s="79" t="n"/>
      <c r="F65" s="25">
        <f>ROW()-3</f>
        <v/>
      </c>
      <c r="G65" s="64" t="inlineStr">
        <is>
          <t>郑浠冰</t>
        </is>
      </c>
      <c r="H65" s="72" t="n">
        <v>3</v>
      </c>
      <c r="I65" s="23" t="n">
        <v>88.45999999999999</v>
      </c>
      <c r="J65" s="26" t="inlineStr">
        <is>
          <t>B</t>
        </is>
      </c>
      <c r="K65" s="72" t="inlineStr">
        <is>
          <t>A</t>
        </is>
      </c>
      <c r="L65" s="13" t="n">
        <v>89</v>
      </c>
      <c r="M65" s="13" t="n">
        <v>90</v>
      </c>
    </row>
    <row r="66" ht="22.95" customHeight="1" s="78">
      <c r="A66" s="79" t="n"/>
      <c r="B66" s="79" t="n"/>
      <c r="C66" s="79" t="n"/>
      <c r="D66" s="79" t="n"/>
      <c r="E66" s="79" t="n"/>
      <c r="F66" s="25">
        <f>ROW()-3</f>
        <v/>
      </c>
      <c r="G66" s="64" t="inlineStr">
        <is>
          <t>吴诗翌</t>
        </is>
      </c>
      <c r="H66" s="72" t="n">
        <v>4</v>
      </c>
      <c r="I66" s="23" t="n">
        <v>86.08</v>
      </c>
      <c r="J66" s="26" t="inlineStr">
        <is>
          <t>B</t>
        </is>
      </c>
      <c r="K66" s="72" t="inlineStr">
        <is>
          <t>B</t>
        </is>
      </c>
      <c r="L66" s="13" t="n">
        <v>89</v>
      </c>
      <c r="M66" s="13" t="n">
        <v>89</v>
      </c>
    </row>
    <row r="67" ht="22.95" customHeight="1" s="78">
      <c r="A67" s="79" t="n"/>
      <c r="B67" s="79" t="n"/>
      <c r="C67" s="79" t="n"/>
      <c r="D67" s="79" t="n"/>
      <c r="E67" s="79" t="n"/>
      <c r="F67" s="25">
        <f>ROW()-3</f>
        <v/>
      </c>
      <c r="G67" s="64" t="inlineStr">
        <is>
          <t>郑  思</t>
        </is>
      </c>
      <c r="H67" s="72" t="n">
        <v>5</v>
      </c>
      <c r="I67" s="23" t="n">
        <v>88.05</v>
      </c>
      <c r="J67" s="26" t="inlineStr">
        <is>
          <t>B</t>
        </is>
      </c>
      <c r="K67" s="72" t="inlineStr">
        <is>
          <t>B</t>
        </is>
      </c>
      <c r="L67" s="13" t="n">
        <v>88</v>
      </c>
      <c r="M67" s="13" t="n">
        <v>89</v>
      </c>
    </row>
    <row r="68" ht="22.95" customHeight="1" s="78">
      <c r="A68" s="79" t="n"/>
      <c r="B68" s="79" t="n"/>
      <c r="C68" s="79" t="n"/>
      <c r="D68" s="79" t="n"/>
      <c r="E68" s="79" t="n"/>
      <c r="F68" s="25">
        <f>ROW()-3</f>
        <v/>
      </c>
      <c r="G68" s="64" t="inlineStr">
        <is>
          <t>卓  喆</t>
        </is>
      </c>
      <c r="H68" s="72" t="n">
        <v>6</v>
      </c>
      <c r="I68" s="23" t="n">
        <v>86.55</v>
      </c>
      <c r="J68" s="26" t="inlineStr">
        <is>
          <t>B</t>
        </is>
      </c>
      <c r="K68" s="72" t="inlineStr">
        <is>
          <t>B</t>
        </is>
      </c>
      <c r="L68" s="13" t="n">
        <v>87</v>
      </c>
      <c r="M68" s="13" t="n">
        <v>89</v>
      </c>
    </row>
    <row r="69" ht="22.95" customHeight="1" s="78">
      <c r="A69" s="79" t="n"/>
      <c r="B69" s="79" t="n"/>
      <c r="C69" s="79" t="n"/>
      <c r="D69" s="79" t="n"/>
      <c r="E69" s="79" t="n"/>
      <c r="F69" s="25">
        <f>ROW()-3</f>
        <v/>
      </c>
      <c r="G69" s="64" t="inlineStr">
        <is>
          <t>林丽英</t>
        </is>
      </c>
      <c r="H69" s="72" t="n">
        <v>7</v>
      </c>
      <c r="I69" s="23" t="n">
        <v>89.65000000000001</v>
      </c>
      <c r="J69" s="26" t="inlineStr">
        <is>
          <t>B</t>
        </is>
      </c>
      <c r="K69" s="72" t="inlineStr">
        <is>
          <t>B</t>
        </is>
      </c>
      <c r="L69" s="13" t="n">
        <v>87</v>
      </c>
      <c r="M69" s="13" t="n">
        <v>88</v>
      </c>
    </row>
    <row r="70" ht="22.95" customHeight="1" s="78">
      <c r="A70" s="80" t="n"/>
      <c r="B70" s="80" t="n"/>
      <c r="C70" s="80" t="n"/>
      <c r="D70" s="80" t="n"/>
      <c r="E70" s="80" t="n"/>
      <c r="F70" s="25">
        <f>ROW()-3</f>
        <v/>
      </c>
      <c r="G70" s="64" t="inlineStr">
        <is>
          <t>朱  飞</t>
        </is>
      </c>
      <c r="H70" s="72" t="n">
        <v>8</v>
      </c>
      <c r="I70" s="23" t="n">
        <v>84.68000000000001</v>
      </c>
      <c r="J70" s="26" t="inlineStr">
        <is>
          <t>B</t>
        </is>
      </c>
      <c r="K70" s="72" t="inlineStr">
        <is>
          <t>B</t>
        </is>
      </c>
      <c r="L70" s="13" t="n">
        <v>87</v>
      </c>
      <c r="M70" s="13" t="n">
        <v>87</v>
      </c>
    </row>
    <row r="71" ht="43.05" customHeight="1" s="78">
      <c r="A71" s="19" t="inlineStr">
        <is>
          <t>备注：其他人员优秀不超过总人数的30%</t>
        </is>
      </c>
      <c r="B71" s="19" t="n"/>
      <c r="C71" s="19" t="n"/>
      <c r="D71" s="19" t="n"/>
      <c r="E71" s="19" t="n"/>
      <c r="F71" s="19" t="n"/>
      <c r="G71" s="19" t="n"/>
      <c r="H71" s="19" t="n"/>
      <c r="I71" s="19" t="n"/>
      <c r="J71" s="19" t="n"/>
      <c r="K71" s="19" t="n"/>
    </row>
    <row r="82">
      <c r="F82" s="0" t="inlineStr">
        <is>
          <t> </t>
        </is>
      </c>
    </row>
  </sheetData>
  <autoFilter ref="A3:M71"/>
  <mergeCells count="56">
    <mergeCell ref="C56:C58"/>
    <mergeCell ref="A48:A51"/>
    <mergeCell ref="B4:B9"/>
    <mergeCell ref="D56:D58"/>
    <mergeCell ref="E45:E47"/>
    <mergeCell ref="E52:E55"/>
    <mergeCell ref="A25:A31"/>
    <mergeCell ref="C25:C31"/>
    <mergeCell ref="D36:D44"/>
    <mergeCell ref="B59:B62"/>
    <mergeCell ref="B63:B70"/>
    <mergeCell ref="D59:D62"/>
    <mergeCell ref="D63:D70"/>
    <mergeCell ref="A1:K1"/>
    <mergeCell ref="E48:E51"/>
    <mergeCell ref="B45:B47"/>
    <mergeCell ref="B52:B55"/>
    <mergeCell ref="C4:C9"/>
    <mergeCell ref="D52:D55"/>
    <mergeCell ref="E56:E58"/>
    <mergeCell ref="E4:E9"/>
    <mergeCell ref="D25:D31"/>
    <mergeCell ref="D48:D51"/>
    <mergeCell ref="C36:C44"/>
    <mergeCell ref="B56:B58"/>
    <mergeCell ref="E36:E44"/>
    <mergeCell ref="C59:C62"/>
    <mergeCell ref="C63:C70"/>
    <mergeCell ref="E59:E62"/>
    <mergeCell ref="A11:A24"/>
    <mergeCell ref="E63:E70"/>
    <mergeCell ref="D32:D35"/>
    <mergeCell ref="B48:B51"/>
    <mergeCell ref="A32:A35"/>
    <mergeCell ref="B36:B44"/>
    <mergeCell ref="A45:A47"/>
    <mergeCell ref="E25:E31"/>
    <mergeCell ref="C52:C55"/>
    <mergeCell ref="C45:C47"/>
    <mergeCell ref="D4:D9"/>
    <mergeCell ref="B25:B31"/>
    <mergeCell ref="B11:B24"/>
    <mergeCell ref="D11:D24"/>
    <mergeCell ref="C32:C35"/>
    <mergeCell ref="E32:E35"/>
    <mergeCell ref="C48:C51"/>
    <mergeCell ref="D45:D47"/>
    <mergeCell ref="A4:A9"/>
    <mergeCell ref="A36:A44"/>
    <mergeCell ref="A59:A62"/>
    <mergeCell ref="A63:A70"/>
    <mergeCell ref="C11:C24"/>
    <mergeCell ref="E11:E24"/>
    <mergeCell ref="B32:B35"/>
    <mergeCell ref="A56:A58"/>
    <mergeCell ref="A52:A55"/>
  </mergeCells>
  <printOptions horizontalCentered="1"/>
  <pageMargins left="0.196527777777778" right="0.118055555555556" top="0.393055555555556" bottom="0.236111111111111" header="0.156944444444444" footer="0.156944444444444"/>
  <pageSetup orientation="portrait" paperSize="9" scale="87" fitToHeight="0"/>
  <rowBreaks count="17" manualBreakCount="17">
    <brk id="49" min="0" max="10" man="1"/>
    <brk id="57" min="0" max="10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1" min="0" max="16383" man="1"/>
    <brk id="72" min="0" max="16383" man="1"/>
    <brk id="72" min="0" max="16383" man="1"/>
    <brk id="72" min="0" max="16383" man="1"/>
    <brk id="72" min="0" max="16383" man="1"/>
    <brk id="72" min="0" max="16383" man="1"/>
    <brk id="72" min="0" max="16383" man="1"/>
  </rowBreaks>
</worksheet>
</file>

<file path=xl/worksheets/sheet4.xml><?xml version="1.0" encoding="utf-8"?>
<worksheet xmlns="http://schemas.openxmlformats.org/spreadsheetml/2006/main">
  <sheetPr codeName="Sheet2">
    <outlinePr summaryBelow="1" summaryRight="1"/>
    <pageSetUpPr fitToPage="1"/>
  </sheetPr>
  <dimension ref="A1:L17"/>
  <sheetViews>
    <sheetView zoomScale="120" zoomScaleNormal="120" workbookViewId="0">
      <pane xSplit="2" ySplit="3" topLeftCell="C4" activePane="bottomRight" state="frozen"/>
      <selection pane="topRight" activeCell="A1" sqref="A1"/>
      <selection pane="bottomLeft" activeCell="A1" sqref="A1"/>
      <selection pane="bottomRight" activeCell="P11" sqref="P11"/>
    </sheetView>
  </sheetViews>
  <sheetFormatPr baseColWidth="8" defaultColWidth="9" defaultRowHeight="14.4"/>
  <cols>
    <col width="22.33203125" customWidth="1" style="78" min="1" max="1"/>
    <col width="10.33203125" customWidth="1" style="78" min="2" max="2"/>
    <col width="10.6640625" customWidth="1" style="78" min="3" max="12"/>
  </cols>
  <sheetData>
    <row r="1" ht="40.05" customHeight="1" s="78">
      <c r="A1" s="14" t="inlineStr">
        <is>
          <t>绩效考核人数参照表</t>
        </is>
      </c>
      <c r="B1" s="14" t="n"/>
      <c r="C1" s="14" t="n"/>
      <c r="D1" s="14" t="n"/>
      <c r="E1" s="14" t="n"/>
      <c r="F1" s="14" t="n"/>
      <c r="G1" s="14" t="n"/>
      <c r="H1" s="14" t="n"/>
      <c r="I1" s="14" t="n"/>
      <c r="J1" s="15" t="n"/>
      <c r="K1" s="15" t="n"/>
      <c r="L1" s="15" t="n"/>
    </row>
    <row r="2" ht="25.05" customHeight="1" s="78">
      <c r="A2" s="72" t="inlineStr">
        <is>
          <t>考核</t>
        </is>
      </c>
      <c r="B2" s="81" t="n"/>
      <c r="C2" s="17" t="inlineStr">
        <is>
          <t>部门考核为A</t>
        </is>
      </c>
      <c r="D2" s="17" t="n"/>
      <c r="E2" s="17" t="inlineStr">
        <is>
          <t>部门考核为B</t>
        </is>
      </c>
      <c r="F2" s="17" t="n"/>
      <c r="G2" s="17" t="inlineStr">
        <is>
          <t>部门考核为C</t>
        </is>
      </c>
      <c r="H2" s="17" t="n"/>
      <c r="I2" s="17" t="n"/>
      <c r="J2" s="17" t="inlineStr">
        <is>
          <t>部门考核为D</t>
        </is>
      </c>
      <c r="K2" s="17" t="n"/>
      <c r="L2" s="17" t="n"/>
    </row>
    <row r="3" ht="45" customHeight="1" s="78">
      <c r="A3" s="72" t="inlineStr">
        <is>
          <t>部门</t>
        </is>
      </c>
      <c r="B3" s="18" t="inlineStr">
        <is>
          <t>人数</t>
        </is>
      </c>
      <c r="C3" s="18" t="inlineStr">
        <is>
          <t>A比例
30%</t>
        </is>
      </c>
      <c r="D3" s="18" t="inlineStr">
        <is>
          <t>BCD比例
70%</t>
        </is>
      </c>
      <c r="E3" s="18" t="inlineStr">
        <is>
          <t>A比例
10%</t>
        </is>
      </c>
      <c r="F3" s="18" t="inlineStr">
        <is>
          <t>BCD比例
90%</t>
        </is>
      </c>
      <c r="G3" s="18" t="inlineStr">
        <is>
          <t>A比例
0%</t>
        </is>
      </c>
      <c r="H3" s="18" t="inlineStr">
        <is>
          <t>B比例
80%</t>
        </is>
      </c>
      <c r="I3" s="18" t="inlineStr">
        <is>
          <t>CD比例
20%且不少于2人</t>
        </is>
      </c>
      <c r="J3" s="18" t="inlineStr">
        <is>
          <t>A比例
0%</t>
        </is>
      </c>
      <c r="K3" s="18" t="inlineStr">
        <is>
          <t>B比例
80%</t>
        </is>
      </c>
      <c r="L3" s="18" t="inlineStr">
        <is>
          <t>CD比例
20%且不少于2人</t>
        </is>
      </c>
    </row>
    <row r="4" ht="34.05" customFormat="1" customHeight="1" s="13">
      <c r="A4" s="72" t="inlineStr">
        <is>
          <t>财务部</t>
        </is>
      </c>
      <c r="B4" s="72" t="n">
        <v>4</v>
      </c>
      <c r="C4" s="72">
        <f>B4*0.3</f>
        <v/>
      </c>
      <c r="D4" s="72">
        <f>B4*0.7</f>
        <v/>
      </c>
      <c r="E4" s="72">
        <f>B4*0.1</f>
        <v/>
      </c>
      <c r="F4" s="72">
        <f>B4*0.9</f>
        <v/>
      </c>
      <c r="G4" s="72" t="n">
        <v>0</v>
      </c>
      <c r="H4" s="72">
        <f>B4-I4</f>
        <v/>
      </c>
      <c r="I4" s="72" t="n">
        <v>2</v>
      </c>
      <c r="J4" s="72" t="n">
        <v>0</v>
      </c>
      <c r="K4" s="72">
        <f>B4-L4</f>
        <v/>
      </c>
      <c r="L4" s="72" t="n">
        <v>2</v>
      </c>
    </row>
    <row r="5" ht="34.05" customFormat="1" customHeight="1" s="13">
      <c r="A5" s="18" t="inlineStr">
        <is>
          <t>党群纪检审计部</t>
        </is>
      </c>
      <c r="B5" s="72" t="n">
        <v>4</v>
      </c>
      <c r="C5" s="72">
        <f>B5*0.3</f>
        <v/>
      </c>
      <c r="D5" s="72">
        <f>B5*0.7</f>
        <v/>
      </c>
      <c r="E5" s="72">
        <f>B5*0.1</f>
        <v/>
      </c>
      <c r="F5" s="72">
        <f>B5*0.9</f>
        <v/>
      </c>
      <c r="G5" s="72" t="n">
        <v>0</v>
      </c>
      <c r="H5" s="72">
        <f>B5-I5</f>
        <v/>
      </c>
      <c r="I5" s="72" t="n">
        <v>2</v>
      </c>
      <c r="J5" s="72" t="n">
        <v>0</v>
      </c>
      <c r="K5" s="72">
        <f>B5-L5</f>
        <v/>
      </c>
      <c r="L5" s="72" t="n">
        <v>2</v>
      </c>
    </row>
    <row r="6" ht="34.05" customFormat="1" customHeight="1" s="13">
      <c r="A6" s="72" t="inlineStr">
        <is>
          <t>综合办公室</t>
        </is>
      </c>
      <c r="B6" s="72" t="n">
        <v>7</v>
      </c>
      <c r="C6" s="72">
        <f>B6*0.3</f>
        <v/>
      </c>
      <c r="D6" s="72">
        <f>B6*0.7</f>
        <v/>
      </c>
      <c r="E6" s="72">
        <f>B6*0.1</f>
        <v/>
      </c>
      <c r="F6" s="72">
        <f>B6*0.9</f>
        <v/>
      </c>
      <c r="G6" s="72" t="n">
        <v>0</v>
      </c>
      <c r="H6" s="72" t="n">
        <v>5</v>
      </c>
      <c r="I6" s="72" t="n">
        <v>2</v>
      </c>
      <c r="J6" s="72" t="n">
        <v>0</v>
      </c>
      <c r="K6" s="72" t="n">
        <v>5</v>
      </c>
      <c r="L6" s="72" t="n">
        <v>2</v>
      </c>
    </row>
    <row r="7" ht="34.05" customFormat="1" customHeight="1" s="13">
      <c r="A7" s="72" t="inlineStr">
        <is>
          <t>质量安全部</t>
        </is>
      </c>
      <c r="B7" s="72" t="n">
        <v>4</v>
      </c>
      <c r="C7" s="72">
        <f>B7*0.3</f>
        <v/>
      </c>
      <c r="D7" s="72">
        <f>B7*0.7</f>
        <v/>
      </c>
      <c r="E7" s="72">
        <f>B7*0.1</f>
        <v/>
      </c>
      <c r="F7" s="72">
        <f>B7*0.9</f>
        <v/>
      </c>
      <c r="G7" s="72" t="n">
        <v>0</v>
      </c>
      <c r="H7" s="72">
        <f>B7-I7</f>
        <v/>
      </c>
      <c r="I7" s="72" t="n">
        <v>2</v>
      </c>
      <c r="J7" s="72" t="n">
        <v>0</v>
      </c>
      <c r="K7" s="72">
        <f>B7-L7</f>
        <v/>
      </c>
      <c r="L7" s="72" t="n">
        <v>2</v>
      </c>
    </row>
    <row r="8" ht="34.05" customFormat="1" customHeight="1" s="13">
      <c r="A8" s="72" t="inlineStr">
        <is>
          <t>设计管理部</t>
        </is>
      </c>
      <c r="B8" s="72" t="n">
        <v>3</v>
      </c>
      <c r="C8" s="72">
        <f>B8*0.3</f>
        <v/>
      </c>
      <c r="D8" s="72">
        <f>B8*0.7</f>
        <v/>
      </c>
      <c r="E8" s="72">
        <f>B8*0.1</f>
        <v/>
      </c>
      <c r="F8" s="72">
        <f>B8*0.9</f>
        <v/>
      </c>
      <c r="G8" s="72" t="n">
        <v>0</v>
      </c>
      <c r="H8" s="72" t="n">
        <v>1</v>
      </c>
      <c r="I8" s="72" t="n">
        <v>2</v>
      </c>
      <c r="J8" s="72" t="n">
        <v>0</v>
      </c>
      <c r="K8" s="72">
        <f>B8-L8</f>
        <v/>
      </c>
      <c r="L8" s="72" t="n">
        <v>2</v>
      </c>
    </row>
    <row r="9" ht="34.05" customFormat="1" customHeight="1" s="13">
      <c r="A9" s="72" t="inlineStr">
        <is>
          <t>投资拓展部</t>
        </is>
      </c>
      <c r="B9" s="72" t="n">
        <v>4</v>
      </c>
      <c r="C9" s="72">
        <f>B9*0.3</f>
        <v/>
      </c>
      <c r="D9" s="72">
        <f>B9*0.7</f>
        <v/>
      </c>
      <c r="E9" s="72">
        <f>B9*0.1</f>
        <v/>
      </c>
      <c r="F9" s="72">
        <f>B9*0.9</f>
        <v/>
      </c>
      <c r="G9" s="72" t="n">
        <v>0</v>
      </c>
      <c r="H9" s="72" t="n">
        <v>2</v>
      </c>
      <c r="I9" s="72" t="n">
        <v>2</v>
      </c>
      <c r="J9" s="72" t="n">
        <v>0</v>
      </c>
      <c r="K9" s="72" t="n">
        <v>2</v>
      </c>
      <c r="L9" s="72" t="n">
        <v>2</v>
      </c>
    </row>
    <row r="10" ht="34.05" customFormat="1" customHeight="1" s="13">
      <c r="A10" s="72" t="inlineStr">
        <is>
          <t>造价合约部</t>
        </is>
      </c>
      <c r="B10" s="72" t="n">
        <v>3</v>
      </c>
      <c r="C10" s="72">
        <f>B10*0.3</f>
        <v/>
      </c>
      <c r="D10" s="72">
        <f>B10*0.7</f>
        <v/>
      </c>
      <c r="E10" s="72">
        <f>B10*0.1</f>
        <v/>
      </c>
      <c r="F10" s="72">
        <f>B10*0.9</f>
        <v/>
      </c>
      <c r="G10" s="72" t="n">
        <v>0</v>
      </c>
      <c r="H10" s="72" t="n">
        <v>1</v>
      </c>
      <c r="I10" s="72" t="n">
        <v>2</v>
      </c>
      <c r="J10" s="72" t="n">
        <v>0</v>
      </c>
      <c r="K10" s="72" t="n">
        <v>1</v>
      </c>
      <c r="L10" s="72" t="n">
        <v>2</v>
      </c>
    </row>
    <row r="11" ht="34.05" customFormat="1" customHeight="1" s="13">
      <c r="A11" s="18" t="inlineStr">
        <is>
          <t>资产管理部</t>
        </is>
      </c>
      <c r="B11" s="72" t="n">
        <v>8</v>
      </c>
      <c r="C11" s="72">
        <f>B11*0.3</f>
        <v/>
      </c>
      <c r="D11" s="72">
        <f>B11*0.7</f>
        <v/>
      </c>
      <c r="E11" s="72">
        <f>B11*0.1</f>
        <v/>
      </c>
      <c r="F11" s="72">
        <f>B11*0.9</f>
        <v/>
      </c>
      <c r="G11" s="72" t="n">
        <v>0</v>
      </c>
      <c r="H11" s="72" t="n">
        <v>6</v>
      </c>
      <c r="I11" s="72" t="n">
        <v>2</v>
      </c>
      <c r="J11" s="72" t="n">
        <v>0</v>
      </c>
      <c r="K11" s="72" t="n">
        <v>6</v>
      </c>
      <c r="L11" s="72" t="n">
        <v>2</v>
      </c>
    </row>
    <row r="12" ht="34.05" customFormat="1" customHeight="1" s="13">
      <c r="A12" s="72" t="inlineStr">
        <is>
          <t>项目管理部</t>
        </is>
      </c>
      <c r="B12" s="72" t="n">
        <v>9</v>
      </c>
      <c r="C12" s="72">
        <f>B12*0.3</f>
        <v/>
      </c>
      <c r="D12" s="72">
        <f>B12*0.7</f>
        <v/>
      </c>
      <c r="E12" s="72">
        <f>B12*0.1</f>
        <v/>
      </c>
      <c r="F12" s="72">
        <f>B12*0.9</f>
        <v/>
      </c>
      <c r="G12" s="72" t="n">
        <v>0</v>
      </c>
      <c r="H12" s="72">
        <f>B12-I12</f>
        <v/>
      </c>
      <c r="I12" s="72" t="n">
        <v>2</v>
      </c>
      <c r="J12" s="72" t="n">
        <v>0</v>
      </c>
      <c r="K12" s="72">
        <f>B12-L12</f>
        <v/>
      </c>
      <c r="L12" s="72" t="n">
        <v>2</v>
      </c>
    </row>
    <row r="13" ht="34.05" customFormat="1" customHeight="1" s="13">
      <c r="A13" s="18" t="inlineStr">
        <is>
          <t>高新区分公司</t>
        </is>
      </c>
      <c r="B13" s="72" t="n">
        <v>14</v>
      </c>
      <c r="C13" s="72">
        <f>B13*0.3</f>
        <v/>
      </c>
      <c r="D13" s="72">
        <f>B13*0.7</f>
        <v/>
      </c>
      <c r="E13" s="72">
        <f>B13*0.1</f>
        <v/>
      </c>
      <c r="F13" s="72">
        <f>B13*0.9</f>
        <v/>
      </c>
      <c r="G13" s="72" t="n">
        <v>0</v>
      </c>
      <c r="H13" s="72">
        <f>B13-I13</f>
        <v/>
      </c>
      <c r="I13" s="72">
        <f>B13*0.2</f>
        <v/>
      </c>
      <c r="J13" s="72" t="n">
        <v>0</v>
      </c>
      <c r="K13" s="72">
        <f>B13-L13</f>
        <v/>
      </c>
      <c r="L13" s="72">
        <f>B13*0.2</f>
        <v/>
      </c>
    </row>
    <row r="14" ht="34.05" customFormat="1" customHeight="1" s="13">
      <c r="A14" s="18" t="inlineStr">
        <is>
          <t>物业分公司</t>
        </is>
      </c>
      <c r="B14" s="72" t="n">
        <v>6</v>
      </c>
      <c r="C14" s="72">
        <f>B14*0.3</f>
        <v/>
      </c>
      <c r="D14" s="72">
        <f>B14*0.7</f>
        <v/>
      </c>
      <c r="E14" s="72">
        <f>B14*0.1</f>
        <v/>
      </c>
      <c r="F14" s="72">
        <f>B14*0.9</f>
        <v/>
      </c>
      <c r="G14" s="72" t="n">
        <v>0</v>
      </c>
      <c r="H14" s="72">
        <f>B14-I14</f>
        <v/>
      </c>
      <c r="I14" s="72" t="n">
        <v>2</v>
      </c>
      <c r="J14" s="72" t="n">
        <v>0</v>
      </c>
      <c r="K14" s="72">
        <f>B14-L14</f>
        <v/>
      </c>
      <c r="L14" s="72" t="n">
        <v>2</v>
      </c>
    </row>
    <row r="15">
      <c r="A15" s="19" t="n"/>
    </row>
    <row r="16" customFormat="1" s="13">
      <c r="A16" s="0" t="n"/>
      <c r="B16" s="0" t="n"/>
      <c r="C16" s="0" t="n"/>
      <c r="D16" s="0" t="n"/>
      <c r="E16" s="0" t="n"/>
      <c r="F16" s="0" t="n"/>
      <c r="G16" s="0" t="n"/>
      <c r="H16" s="0" t="n"/>
      <c r="I16" s="0" t="n"/>
      <c r="J16" s="0" t="n"/>
      <c r="K16" s="0" t="n"/>
      <c r="L16" s="0" t="n"/>
    </row>
    <row r="17" customFormat="1" s="13">
      <c r="A17" s="0" t="n"/>
      <c r="B17" s="0" t="n"/>
      <c r="C17" s="0" t="n"/>
      <c r="D17" s="0" t="n"/>
      <c r="E17" s="0" t="n"/>
      <c r="F17" s="0" t="n"/>
      <c r="G17" s="0" t="n"/>
      <c r="H17" s="0" t="n"/>
      <c r="I17" s="0" t="n"/>
      <c r="J17" s="0" t="n"/>
      <c r="K17" s="0" t="n"/>
      <c r="L17" s="0" t="n"/>
    </row>
  </sheetData>
  <mergeCells count="1">
    <mergeCell ref="A2:B2"/>
  </mergeCells>
  <pageMargins left="0.708333333333333" right="0.708333333333333" top="0.747916666666667" bottom="0.275" header="0.196527777777778" footer="0.236111111111111"/>
  <pageSetup orientation="landscape" paperSize="9" scale="96" fitToHeight="0"/>
</worksheet>
</file>

<file path=xl/worksheets/sheet5.xml><?xml version="1.0" encoding="utf-8"?>
<worksheet xmlns="http://schemas.openxmlformats.org/spreadsheetml/2006/main">
  <sheetPr codeName="Sheet6">
    <outlinePr summaryBelow="1" summaryRight="1"/>
    <pageSetUpPr/>
  </sheetPr>
  <dimension ref="A1:E14"/>
  <sheetViews>
    <sheetView workbookViewId="0">
      <selection activeCell="C15" sqref="C15"/>
    </sheetView>
  </sheetViews>
  <sheetFormatPr baseColWidth="8" defaultColWidth="9" defaultRowHeight="31.5" customHeight="1"/>
  <cols>
    <col width="16.21875" customWidth="1" style="1" min="1" max="1"/>
    <col width="31.6640625" customWidth="1" style="1" min="2" max="2"/>
    <col width="37.33203125" customWidth="1" style="1" min="3" max="3"/>
    <col width="9" customWidth="1" style="1" min="4" max="16384"/>
  </cols>
  <sheetData>
    <row r="1" ht="58.95" customHeight="1" s="78">
      <c r="A1" s="73" t="inlineStr">
        <is>
          <t>部门2026年2月考评情况汇总表</t>
        </is>
      </c>
      <c r="D1" s="9" t="n"/>
      <c r="E1" s="9" t="n"/>
    </row>
    <row r="2" ht="31.95" customHeight="1" s="78">
      <c r="A2" s="10" t="inlineStr">
        <is>
          <t>序号</t>
        </is>
      </c>
      <c r="B2" s="10" t="inlineStr">
        <is>
          <t>部门</t>
        </is>
      </c>
      <c r="C2" s="10" t="inlineStr">
        <is>
          <t>综合评定</t>
        </is>
      </c>
    </row>
    <row r="3" ht="31.95" customHeight="1" s="78">
      <c r="A3" s="64" t="n">
        <v>1</v>
      </c>
      <c r="B3" s="64" t="inlineStr">
        <is>
          <t>高新区分公司</t>
        </is>
      </c>
      <c r="C3" s="64" t="n"/>
    </row>
    <row r="4" ht="31.95" customHeight="1" s="78">
      <c r="A4" s="64" t="n">
        <v>2</v>
      </c>
      <c r="B4" s="64" t="inlineStr">
        <is>
          <t>物业分公司</t>
        </is>
      </c>
      <c r="C4" s="64" t="n"/>
    </row>
    <row r="5" ht="34.95" customHeight="1" s="78">
      <c r="A5" s="64" t="n">
        <v>3</v>
      </c>
      <c r="B5" s="64" t="inlineStr">
        <is>
          <t>设计管理部</t>
        </is>
      </c>
      <c r="C5" s="64" t="n"/>
    </row>
    <row r="6" ht="34.95" customHeight="1" s="78">
      <c r="A6" s="64" t="n">
        <v>4</v>
      </c>
      <c r="B6" s="64" t="inlineStr">
        <is>
          <t>项目管理部</t>
        </is>
      </c>
      <c r="C6" s="64" t="n"/>
    </row>
    <row r="7" ht="34.95" customHeight="1" s="78">
      <c r="A7" s="64" t="n">
        <v>5</v>
      </c>
      <c r="B7" s="64" t="inlineStr">
        <is>
          <t>质量安全部</t>
        </is>
      </c>
      <c r="C7" s="64" t="n"/>
    </row>
    <row r="8" ht="34.95" customHeight="1" s="78">
      <c r="A8" s="64" t="n">
        <v>6</v>
      </c>
      <c r="B8" s="64" t="inlineStr">
        <is>
          <t>资产管理部</t>
        </is>
      </c>
      <c r="C8" s="64" t="n"/>
    </row>
    <row r="9" ht="34.95" customHeight="1" s="78">
      <c r="A9" s="64" t="n">
        <v>7</v>
      </c>
      <c r="B9" s="64" t="inlineStr">
        <is>
          <t>造价合约部</t>
        </is>
      </c>
      <c r="C9" s="64" t="n"/>
    </row>
    <row r="10" ht="34.95" customHeight="1" s="78">
      <c r="A10" s="64" t="n">
        <v>8</v>
      </c>
      <c r="B10" s="64" t="inlineStr">
        <is>
          <t>投资拓展部</t>
        </is>
      </c>
      <c r="C10" s="64" t="n"/>
    </row>
    <row r="11" ht="34.95" customHeight="1" s="78">
      <c r="A11" s="64" t="n">
        <v>9</v>
      </c>
      <c r="B11" s="64" t="inlineStr">
        <is>
          <t>财  务  部</t>
        </is>
      </c>
      <c r="C11" s="64" t="n"/>
    </row>
    <row r="12" ht="34.95" customHeight="1" s="78">
      <c r="A12" s="64" t="n">
        <v>10</v>
      </c>
      <c r="B12" s="11" t="inlineStr">
        <is>
          <t>党群纪检审计部</t>
        </is>
      </c>
      <c r="C12" s="64" t="n"/>
    </row>
    <row r="13" ht="34.95" customHeight="1" s="78">
      <c r="A13" s="64" t="n">
        <v>11</v>
      </c>
      <c r="B13" s="64" t="inlineStr">
        <is>
          <t>综合办公室</t>
        </is>
      </c>
      <c r="C13" s="64" t="n"/>
    </row>
    <row r="14" ht="49.95" customHeight="1" s="78">
      <c r="A14" s="12" t="inlineStr">
        <is>
          <t>绩效考核委员会意见：</t>
        </is>
      </c>
    </row>
  </sheetData>
  <mergeCells count="1">
    <mergeCell ref="A1:C1"/>
  </mergeCells>
  <pageMargins left="0.786805555555556" right="0.786805555555556" top="0.393055555555556" bottom="0.236111111111111" header="0.196527777777778" footer="0.156944444444444"/>
  <pageSetup orientation="portrait" paperSize="9"/>
</worksheet>
</file>

<file path=xl/worksheets/sheet6.xml><?xml version="1.0" encoding="utf-8"?>
<worksheet xmlns="http://schemas.openxmlformats.org/spreadsheetml/2006/main">
  <sheetPr codeName="Sheet3">
    <outlinePr summaryBelow="1" summaryRight="1"/>
    <pageSetUpPr fitToPage="1"/>
  </sheetPr>
  <dimension ref="A1:E46"/>
  <sheetViews>
    <sheetView zoomScale="110" zoomScaleNormal="110" workbookViewId="0">
      <selection activeCell="M18" sqref="M18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17.5546875" customWidth="1" style="1" min="3" max="3"/>
    <col width="19.6640625" customWidth="1" style="1" min="4" max="4"/>
    <col width="19.88671875" customWidth="1" style="1" min="5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33" customFormat="1" customHeight="1" s="1">
      <c r="A3" s="74" t="inlineStr">
        <is>
          <t>总经理助理</t>
        </is>
      </c>
      <c r="B3" s="65" t="n">
        <v>1</v>
      </c>
      <c r="C3" s="64" t="inlineStr">
        <is>
          <t>张云旭</t>
        </is>
      </c>
      <c r="D3" s="8" t="inlineStr">
        <is>
          <t>总助
项目管理部经理</t>
        </is>
      </c>
      <c r="E3" s="64" t="n"/>
    </row>
    <row r="4" ht="18" customFormat="1" customHeight="1" s="1">
      <c r="A4" s="75" t="inlineStr">
        <is>
          <t>高新区分公司</t>
        </is>
      </c>
      <c r="B4" s="65" t="n">
        <v>1</v>
      </c>
      <c r="C4" s="64" t="inlineStr">
        <is>
          <t>郑石斌</t>
        </is>
      </c>
      <c r="D4" s="64" t="inlineStr">
        <is>
          <t>负 责 人</t>
        </is>
      </c>
      <c r="E4" s="64" t="n"/>
    </row>
    <row r="5" ht="18" customFormat="1" customHeight="1" s="1">
      <c r="A5" s="79" t="n"/>
      <c r="B5" s="65" t="n">
        <v>2</v>
      </c>
      <c r="C5" s="64" t="inlineStr">
        <is>
          <t>孙安娜</t>
        </is>
      </c>
      <c r="D5" s="64" t="inlineStr">
        <is>
          <t>副    职</t>
        </is>
      </c>
      <c r="E5" s="64" t="n"/>
    </row>
    <row r="6" ht="18" customFormat="1" customHeight="1" s="1">
      <c r="A6" s="79" t="n"/>
      <c r="B6" s="65" t="n">
        <v>3</v>
      </c>
      <c r="C6" s="64" t="inlineStr">
        <is>
          <t>陈南钟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65" t="n">
        <v>4</v>
      </c>
      <c r="C7" s="64" t="inlineStr">
        <is>
          <t>林  强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65" t="n">
        <v>5</v>
      </c>
      <c r="C8" s="64" t="inlineStr">
        <is>
          <t>林  功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65" t="n">
        <v>6</v>
      </c>
      <c r="C9" s="64" t="inlineStr">
        <is>
          <t>王  晖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65" t="n">
        <v>7</v>
      </c>
      <c r="C10" s="64" t="inlineStr">
        <is>
          <t>高  彬</t>
        </is>
      </c>
      <c r="D10" s="64" t="inlineStr">
        <is>
          <t>职    员</t>
        </is>
      </c>
      <c r="E10" s="64" t="n"/>
    </row>
    <row r="11" ht="18" customFormat="1" customHeight="1" s="1">
      <c r="A11" s="79" t="n"/>
      <c r="B11" s="65" t="n">
        <v>8</v>
      </c>
      <c r="C11" s="64" t="inlineStr">
        <is>
          <t>陈秀榕</t>
        </is>
      </c>
      <c r="D11" s="64" t="inlineStr">
        <is>
          <t>职    员</t>
        </is>
      </c>
      <c r="E11" s="64" t="n"/>
    </row>
    <row r="12" ht="18" customFormat="1" customHeight="1" s="1">
      <c r="A12" s="79" t="n"/>
      <c r="B12" s="65" t="n">
        <v>9</v>
      </c>
      <c r="C12" s="64" t="inlineStr">
        <is>
          <t>陈胜华</t>
        </is>
      </c>
      <c r="D12" s="64" t="inlineStr">
        <is>
          <t>职    员</t>
        </is>
      </c>
      <c r="E12" s="64" t="n"/>
    </row>
    <row r="13" ht="18" customFormat="1" customHeight="1" s="1">
      <c r="A13" s="79" t="n"/>
      <c r="B13" s="65" t="n">
        <v>10</v>
      </c>
      <c r="C13" s="64" t="inlineStr">
        <is>
          <t>许仁捷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5" t="n">
        <v>11</v>
      </c>
      <c r="C14" s="64" t="inlineStr">
        <is>
          <t>薛来煌</t>
        </is>
      </c>
      <c r="D14" s="64" t="inlineStr">
        <is>
          <t>职    员</t>
        </is>
      </c>
      <c r="E14" s="64" t="n"/>
    </row>
    <row r="15" ht="18" customFormat="1" customHeight="1" s="1">
      <c r="A15" s="79" t="n"/>
      <c r="B15" s="65" t="n">
        <v>12</v>
      </c>
      <c r="C15" s="64" t="inlineStr">
        <is>
          <t>陈起颂</t>
        </is>
      </c>
      <c r="D15" s="64" t="inlineStr">
        <is>
          <t>职    员</t>
        </is>
      </c>
      <c r="E15" s="64" t="n"/>
    </row>
    <row r="16" ht="18" customFormat="1" customHeight="1" s="1">
      <c r="A16" s="79" t="n"/>
      <c r="B16" s="65" t="n">
        <v>13</v>
      </c>
      <c r="C16" s="64" t="inlineStr">
        <is>
          <t>林鹏飞</t>
        </is>
      </c>
      <c r="D16" s="64" t="inlineStr">
        <is>
          <t>职    员</t>
        </is>
      </c>
      <c r="E16" s="64" t="n"/>
    </row>
    <row r="17" ht="18" customFormat="1" customHeight="1" s="1">
      <c r="A17" s="79" t="n"/>
      <c r="B17" s="65" t="n">
        <v>14</v>
      </c>
      <c r="C17" s="64" t="inlineStr">
        <is>
          <t>陈  泽</t>
        </is>
      </c>
      <c r="D17" s="64" t="inlineStr">
        <is>
          <t>职    员</t>
        </is>
      </c>
      <c r="E17" s="64" t="n"/>
    </row>
    <row r="18" ht="18" customFormat="1" customHeight="1" s="1">
      <c r="A18" s="79" t="n"/>
      <c r="B18" s="65" t="n">
        <v>15</v>
      </c>
      <c r="C18" s="64" t="inlineStr">
        <is>
          <t>盖程伊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5" t="n">
        <v>16</v>
      </c>
      <c r="C19" s="64" t="inlineStr">
        <is>
          <t>李缘媛</t>
        </is>
      </c>
      <c r="D19" s="64" t="inlineStr">
        <is>
          <t>职    员</t>
        </is>
      </c>
      <c r="E19" s="64" t="n"/>
    </row>
    <row r="20" ht="18" customFormat="1" customHeight="1" s="1">
      <c r="A20" s="75" t="inlineStr">
        <is>
          <t>物业分公司</t>
        </is>
      </c>
      <c r="B20" s="64" t="n">
        <v>1</v>
      </c>
      <c r="C20" s="64" t="inlineStr">
        <is>
          <t>陈朝炜</t>
        </is>
      </c>
      <c r="D20" s="64" t="inlineStr">
        <is>
          <t>负 责 人</t>
        </is>
      </c>
      <c r="E20" s="64" t="n"/>
    </row>
    <row r="21" ht="18" customFormat="1" customHeight="1" s="1">
      <c r="A21" s="79" t="n"/>
      <c r="B21" s="64" t="n">
        <v>2</v>
      </c>
      <c r="C21" s="64" t="inlineStr">
        <is>
          <t>陈  媛</t>
        </is>
      </c>
      <c r="D21" s="64" t="inlineStr">
        <is>
          <t>副    职</t>
        </is>
      </c>
      <c r="E21" s="64" t="n"/>
    </row>
    <row r="22" ht="18" customFormat="1" customHeight="1" s="1">
      <c r="A22" s="79" t="n"/>
      <c r="B22" s="64" t="n">
        <v>3</v>
      </c>
      <c r="C22" s="64" t="inlineStr">
        <is>
          <t>林晓燕</t>
        </is>
      </c>
      <c r="D22" s="64" t="inlineStr">
        <is>
          <t>职    员</t>
        </is>
      </c>
      <c r="E22" s="64" t="n"/>
    </row>
    <row r="23" ht="18" customFormat="1" customHeight="1" s="1">
      <c r="A23" s="79" t="n"/>
      <c r="B23" s="64" t="n">
        <v>4</v>
      </c>
      <c r="C23" s="64" t="inlineStr">
        <is>
          <t>林小森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5</v>
      </c>
      <c r="C24" s="64" t="inlineStr">
        <is>
          <t>肖炜萍</t>
        </is>
      </c>
      <c r="D24" s="64" t="inlineStr">
        <is>
          <t>职    员</t>
        </is>
      </c>
      <c r="E24" s="64" t="n"/>
    </row>
    <row r="25" ht="18" customFormat="1" customHeight="1" s="1">
      <c r="A25" s="79" t="n"/>
      <c r="B25" s="64" t="n">
        <v>6</v>
      </c>
      <c r="C25" s="64" t="inlineStr">
        <is>
          <t>林大江</t>
        </is>
      </c>
      <c r="D25" s="64" t="inlineStr">
        <is>
          <t>职    员</t>
        </is>
      </c>
      <c r="E25" s="64" t="n"/>
    </row>
    <row r="26" ht="18" customFormat="1" customHeight="1" s="1">
      <c r="A26" s="79" t="n"/>
      <c r="B26" s="64" t="n">
        <v>7</v>
      </c>
      <c r="C26" s="64" t="inlineStr">
        <is>
          <t>王子妍</t>
        </is>
      </c>
      <c r="D26" s="64" t="inlineStr">
        <is>
          <t>职    员</t>
        </is>
      </c>
      <c r="E26" s="64" t="n"/>
    </row>
    <row r="27" ht="18" customFormat="1" customHeight="1" s="1">
      <c r="A27" s="79" t="n"/>
      <c r="B27" s="64" t="n">
        <v>8</v>
      </c>
      <c r="C27" s="64" t="inlineStr">
        <is>
          <t>钱  源</t>
        </is>
      </c>
      <c r="D27" s="64" t="inlineStr">
        <is>
          <t>职    员</t>
        </is>
      </c>
      <c r="E27" s="64" t="n"/>
    </row>
    <row r="28" ht="18" customFormat="1" customHeight="1" s="1">
      <c r="A28" s="75" t="inlineStr">
        <is>
          <t>项目管理部</t>
        </is>
      </c>
      <c r="B28" s="64" t="n">
        <v>1</v>
      </c>
      <c r="C28" s="64" t="inlineStr">
        <is>
          <t>蔡震空</t>
        </is>
      </c>
      <c r="D28" s="64" t="inlineStr">
        <is>
          <t>副    职</t>
        </is>
      </c>
      <c r="E28" s="64" t="n"/>
    </row>
    <row r="29" ht="18" customFormat="1" customHeight="1" s="1">
      <c r="A29" s="79" t="n"/>
      <c r="B29" s="64" t="n">
        <v>2</v>
      </c>
      <c r="C29" s="64" t="inlineStr">
        <is>
          <t>林敬楠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3</v>
      </c>
      <c r="C30" s="64" t="inlineStr">
        <is>
          <t>林奇星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4</v>
      </c>
      <c r="C31" s="64" t="inlineStr">
        <is>
          <t>郑春鑫</t>
        </is>
      </c>
      <c r="D31" s="64" t="inlineStr">
        <is>
          <t>职    员</t>
        </is>
      </c>
      <c r="E31" s="64" t="n"/>
    </row>
    <row r="32" ht="18" customFormat="1" customHeight="1" s="1">
      <c r="A32" s="79" t="n"/>
      <c r="B32" s="64" t="n">
        <v>5</v>
      </c>
      <c r="C32" s="64" t="inlineStr">
        <is>
          <t>兰  枫</t>
        </is>
      </c>
      <c r="D32" s="64" t="inlineStr">
        <is>
          <t>职    员</t>
        </is>
      </c>
      <c r="E32" s="64" t="n"/>
    </row>
    <row r="33" ht="18" customFormat="1" customHeight="1" s="1">
      <c r="A33" s="79" t="n"/>
      <c r="B33" s="64" t="n">
        <v>6</v>
      </c>
      <c r="C33" s="64" t="inlineStr">
        <is>
          <t>黄  杰</t>
        </is>
      </c>
      <c r="D33" s="64" t="inlineStr">
        <is>
          <t>职    员</t>
        </is>
      </c>
      <c r="E33" s="64" t="n"/>
    </row>
    <row r="34" ht="18" customFormat="1" customHeight="1" s="1">
      <c r="A34" s="79" t="n"/>
      <c r="B34" s="64" t="n">
        <v>7</v>
      </c>
      <c r="C34" s="64" t="inlineStr">
        <is>
          <t>鲍长杰</t>
        </is>
      </c>
      <c r="D34" s="64" t="inlineStr">
        <is>
          <t>职    员</t>
        </is>
      </c>
      <c r="E34" s="64" t="n"/>
    </row>
    <row r="35" ht="18" customFormat="1" customHeight="1" s="1">
      <c r="A35" s="79" t="n"/>
      <c r="B35" s="64" t="n">
        <v>8</v>
      </c>
      <c r="C35" s="64" t="inlineStr">
        <is>
          <t>陈世杰</t>
        </is>
      </c>
      <c r="D35" s="64" t="inlineStr">
        <is>
          <t>职    员</t>
        </is>
      </c>
      <c r="E35" s="64" t="n"/>
    </row>
    <row r="36" ht="18" customFormat="1" customHeight="1" s="1">
      <c r="A36" s="79" t="n"/>
      <c r="B36" s="64" t="n">
        <v>9</v>
      </c>
      <c r="C36" s="64" t="inlineStr">
        <is>
          <t>邓  越</t>
        </is>
      </c>
      <c r="D36" s="64" t="inlineStr">
        <is>
          <t>职    员</t>
        </is>
      </c>
      <c r="E36" s="64" t="n"/>
    </row>
    <row r="37" ht="18" customFormat="1" customHeight="1" s="1">
      <c r="A37" s="79" t="n"/>
      <c r="B37" s="64" t="n">
        <v>10</v>
      </c>
      <c r="C37" s="64" t="inlineStr">
        <is>
          <t>李柏洋</t>
        </is>
      </c>
      <c r="D37" s="64" t="inlineStr">
        <is>
          <t>职    员</t>
        </is>
      </c>
      <c r="E37" s="64" t="n"/>
    </row>
    <row r="38" ht="18" customFormat="1" customHeight="1" s="1">
      <c r="A38" s="75" t="inlineStr">
        <is>
          <t>设计管理部</t>
        </is>
      </c>
      <c r="B38" s="65" t="n">
        <v>1</v>
      </c>
      <c r="C38" s="64" t="inlineStr">
        <is>
          <t>刘德清</t>
        </is>
      </c>
      <c r="D38" s="64" t="inlineStr">
        <is>
          <t>负 责 人</t>
        </is>
      </c>
      <c r="E38" s="64" t="n"/>
    </row>
    <row r="39" ht="18" customFormat="1" customHeight="1" s="1">
      <c r="A39" s="79" t="n"/>
      <c r="B39" s="65" t="n">
        <v>2</v>
      </c>
      <c r="C39" s="64" t="inlineStr">
        <is>
          <t>郑长健</t>
        </is>
      </c>
      <c r="D39" s="64" t="inlineStr">
        <is>
          <t>职    员</t>
        </is>
      </c>
      <c r="E39" s="64" t="n"/>
    </row>
    <row r="40" ht="18" customFormat="1" customHeight="1" s="1">
      <c r="A40" s="79" t="n"/>
      <c r="B40" s="65" t="n">
        <v>3</v>
      </c>
      <c r="C40" s="64" t="inlineStr">
        <is>
          <t>谭  圆</t>
        </is>
      </c>
      <c r="D40" s="64" t="inlineStr">
        <is>
          <t>职    员</t>
        </is>
      </c>
      <c r="E40" s="64" t="n"/>
    </row>
    <row r="41" ht="18" customFormat="1" customHeight="1" s="1">
      <c r="A41" s="79" t="n"/>
      <c r="B41" s="65" t="n">
        <v>4</v>
      </c>
      <c r="C41" s="64" t="inlineStr">
        <is>
          <t>赵朕昕</t>
        </is>
      </c>
      <c r="D41" s="64" t="inlineStr">
        <is>
          <t>职    员</t>
        </is>
      </c>
      <c r="E41" s="64" t="n"/>
    </row>
    <row r="42" ht="18" customFormat="1" customHeight="1" s="1">
      <c r="A42" s="74" t="inlineStr">
        <is>
          <t>质量安全部</t>
        </is>
      </c>
      <c r="B42" s="64" t="n">
        <v>1</v>
      </c>
      <c r="C42" s="64" t="inlineStr">
        <is>
          <t>朱晓东</t>
        </is>
      </c>
      <c r="D42" s="64" t="inlineStr">
        <is>
          <t>负 责 人</t>
        </is>
      </c>
      <c r="E42" s="64" t="n"/>
    </row>
    <row r="43" ht="18" customFormat="1" customHeight="1" s="1">
      <c r="A43" s="79" t="n"/>
      <c r="B43" s="64" t="n">
        <v>2</v>
      </c>
      <c r="C43" s="64" t="inlineStr">
        <is>
          <t>张  荣</t>
        </is>
      </c>
      <c r="D43" s="64" t="inlineStr">
        <is>
          <t>职    员</t>
        </is>
      </c>
      <c r="E43" s="64" t="n"/>
    </row>
    <row r="44" ht="18" customFormat="1" customHeight="1" s="1">
      <c r="A44" s="79" t="n"/>
      <c r="B44" s="64" t="n">
        <v>3</v>
      </c>
      <c r="C44" s="64" t="inlineStr">
        <is>
          <t>林兆荣</t>
        </is>
      </c>
      <c r="D44" s="64" t="inlineStr">
        <is>
          <t>职    员</t>
        </is>
      </c>
      <c r="E44" s="64" t="n"/>
    </row>
    <row r="45" ht="18" customFormat="1" customHeight="1" s="1">
      <c r="A45" s="79" t="n"/>
      <c r="B45" s="64" t="n">
        <v>4</v>
      </c>
      <c r="C45" s="64" t="inlineStr">
        <is>
          <t>陈培伦</t>
        </is>
      </c>
      <c r="D45" s="64" t="inlineStr">
        <is>
          <t>职    员</t>
        </is>
      </c>
      <c r="E45" s="64" t="n"/>
    </row>
    <row r="46" ht="18" customFormat="1" customHeight="1" s="1">
      <c r="A46" s="80" t="n"/>
      <c r="B46" s="65" t="n">
        <v>5</v>
      </c>
      <c r="C46" s="64" t="inlineStr">
        <is>
          <t>陈  锟</t>
        </is>
      </c>
      <c r="D46" s="64" t="inlineStr">
        <is>
          <t>职    员</t>
        </is>
      </c>
      <c r="E46" s="64" t="n"/>
    </row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/>
    <row r="57" ht="20.25" customHeight="1" s="78"/>
    <row r="58" ht="20.25" customHeight="1" s="78"/>
    <row r="59" ht="20.25" customHeight="1" s="78"/>
    <row r="60" ht="20.25" customHeight="1" s="78"/>
  </sheetData>
  <mergeCells count="6">
    <mergeCell ref="A4:A19"/>
    <mergeCell ref="A38:A41"/>
    <mergeCell ref="A20:A27"/>
    <mergeCell ref="A28:A37"/>
    <mergeCell ref="A42:A46"/>
    <mergeCell ref="A1:E1"/>
  </mergeCells>
  <pageMargins left="0.786805555555556" right="0.786805555555556" top="0.393055555555556" bottom="0.236111111111111" header="0.196527777777778" footer="0.156944444444444"/>
  <pageSetup orientation="portrait" paperSize="9" fitToHeight="0"/>
  <rowBreaks count="1" manualBreakCount="1">
    <brk id="60" min="0" max="16383" man="1"/>
  </rowBreaks>
</worksheet>
</file>

<file path=xl/worksheets/sheet7.xml><?xml version="1.0" encoding="utf-8"?>
<worksheet xmlns="http://schemas.openxmlformats.org/spreadsheetml/2006/main">
  <sheetPr codeName="Sheet4">
    <outlinePr summaryBelow="1" summaryRight="1"/>
    <pageSetUpPr fitToPage="1"/>
  </sheetPr>
  <dimension ref="A1:E56"/>
  <sheetViews>
    <sheetView workbookViewId="0">
      <selection activeCell="K27" sqref="K27"/>
    </sheetView>
  </sheetViews>
  <sheetFormatPr baseColWidth="8" defaultColWidth="9" defaultRowHeight="20.25" customHeight="1"/>
  <cols>
    <col width="20.6640625" customWidth="1" style="1" min="1" max="1"/>
    <col width="8.6640625" customWidth="1" style="1" min="2" max="2"/>
    <col width="20.6640625" customWidth="1" style="1" min="3" max="5"/>
    <col width="9" customWidth="1" style="1" min="6" max="16383"/>
  </cols>
  <sheetData>
    <row r="1" ht="58.95" customFormat="1" customHeight="1" s="1">
      <c r="A1" s="73" t="inlineStr">
        <is>
          <t>一线干部考察2026年2月考评情况汇总表</t>
        </is>
      </c>
    </row>
    <row r="2" ht="19.95" customFormat="1" customHeight="1" s="1">
      <c r="A2" s="74" t="inlineStr">
        <is>
          <t>部  门</t>
        </is>
      </c>
      <c r="B2" s="74" t="inlineStr">
        <is>
          <t>序号</t>
        </is>
      </c>
      <c r="C2" s="74" t="inlineStr">
        <is>
          <t>姓  名</t>
        </is>
      </c>
      <c r="D2" s="74" t="inlineStr">
        <is>
          <t>职  务</t>
        </is>
      </c>
      <c r="E2" s="74" t="inlineStr">
        <is>
          <t>综合评定结果</t>
        </is>
      </c>
    </row>
    <row r="3" ht="18" customFormat="1" customHeight="1" s="1">
      <c r="A3" s="74" t="inlineStr">
        <is>
          <t>资产管理部</t>
        </is>
      </c>
      <c r="B3" s="3" t="n">
        <v>1</v>
      </c>
      <c r="C3" s="64" t="inlineStr">
        <is>
          <t>叶  炫</t>
        </is>
      </c>
      <c r="D3" s="64" t="inlineStr">
        <is>
          <t>负 责 人</t>
        </is>
      </c>
      <c r="E3" s="64" t="n"/>
    </row>
    <row r="4" ht="18" customFormat="1" customHeight="1" s="1">
      <c r="A4" s="79" t="n"/>
      <c r="B4" s="3" t="n">
        <v>2</v>
      </c>
      <c r="C4" s="64" t="inlineStr">
        <is>
          <t>郑  思</t>
        </is>
      </c>
      <c r="D4" s="64" t="inlineStr">
        <is>
          <t>职    员</t>
        </is>
      </c>
      <c r="E4" s="64" t="n"/>
    </row>
    <row r="5" ht="18" customFormat="1" customHeight="1" s="1">
      <c r="A5" s="79" t="n"/>
      <c r="B5" s="3" t="n">
        <v>3</v>
      </c>
      <c r="C5" s="64" t="inlineStr">
        <is>
          <t>李晨飞</t>
        </is>
      </c>
      <c r="D5" s="64" t="inlineStr">
        <is>
          <t>职    员</t>
        </is>
      </c>
      <c r="E5" s="64" t="n"/>
    </row>
    <row r="6" ht="18" customFormat="1" customHeight="1" s="1">
      <c r="A6" s="79" t="n"/>
      <c r="B6" s="3" t="n">
        <v>4</v>
      </c>
      <c r="C6" s="64" t="inlineStr">
        <is>
          <t>吴诗翌</t>
        </is>
      </c>
      <c r="D6" s="64" t="inlineStr">
        <is>
          <t>职    员</t>
        </is>
      </c>
      <c r="E6" s="64" t="n"/>
    </row>
    <row r="7" ht="18" customFormat="1" customHeight="1" s="1">
      <c r="A7" s="79" t="n"/>
      <c r="B7" s="3" t="n">
        <v>5</v>
      </c>
      <c r="C7" s="64" t="inlineStr">
        <is>
          <t>郑浠冰</t>
        </is>
      </c>
      <c r="D7" s="64" t="inlineStr">
        <is>
          <t>职    员</t>
        </is>
      </c>
      <c r="E7" s="64" t="n"/>
    </row>
    <row r="8" ht="18" customFormat="1" customHeight="1" s="1">
      <c r="A8" s="79" t="n"/>
      <c r="B8" s="3" t="n">
        <v>6</v>
      </c>
      <c r="C8" s="64" t="inlineStr">
        <is>
          <t>朱  飞</t>
        </is>
      </c>
      <c r="D8" s="64" t="inlineStr">
        <is>
          <t>职    员</t>
        </is>
      </c>
      <c r="E8" s="64" t="n"/>
    </row>
    <row r="9" ht="18" customFormat="1" customHeight="1" s="1">
      <c r="A9" s="79" t="n"/>
      <c r="B9" s="3" t="n">
        <v>7</v>
      </c>
      <c r="C9" s="64" t="inlineStr">
        <is>
          <t>卓  喆</t>
        </is>
      </c>
      <c r="D9" s="64" t="inlineStr">
        <is>
          <t>职    员</t>
        </is>
      </c>
      <c r="E9" s="64" t="n"/>
    </row>
    <row r="10" ht="18" customFormat="1" customHeight="1" s="1">
      <c r="A10" s="79" t="n"/>
      <c r="B10" s="3" t="n">
        <v>8</v>
      </c>
      <c r="C10" s="64" t="inlineStr">
        <is>
          <t>林丽英</t>
        </is>
      </c>
      <c r="D10" s="64" t="inlineStr">
        <is>
          <t>职    员</t>
        </is>
      </c>
      <c r="E10" s="64" t="n"/>
    </row>
    <row r="11" ht="18" customFormat="1" customHeight="1" s="1">
      <c r="A11" s="80" t="n"/>
      <c r="B11" s="3" t="n">
        <v>9</v>
      </c>
      <c r="C11" s="64" t="inlineStr">
        <is>
          <t>林文志</t>
        </is>
      </c>
      <c r="D11" s="64" t="inlineStr">
        <is>
          <t>职    员</t>
        </is>
      </c>
      <c r="E11" s="64" t="n"/>
    </row>
    <row r="12" ht="18" customFormat="1" customHeight="1" s="1">
      <c r="A12" s="74" t="inlineStr">
        <is>
          <t>造价合约部</t>
        </is>
      </c>
      <c r="B12" s="64" t="n">
        <v>1</v>
      </c>
      <c r="C12" s="64" t="inlineStr">
        <is>
          <t>陈  杰</t>
        </is>
      </c>
      <c r="D12" s="64" t="inlineStr">
        <is>
          <t>副    职</t>
        </is>
      </c>
      <c r="E12" s="64" t="n"/>
    </row>
    <row r="13" ht="18" customFormat="1" customHeight="1" s="1">
      <c r="A13" s="79" t="n"/>
      <c r="B13" s="64" t="n">
        <v>2</v>
      </c>
      <c r="C13" s="64" t="inlineStr">
        <is>
          <t>陈  颖</t>
        </is>
      </c>
      <c r="D13" s="64" t="inlineStr">
        <is>
          <t>职    员</t>
        </is>
      </c>
      <c r="E13" s="64" t="n"/>
    </row>
    <row r="14" ht="18" customFormat="1" customHeight="1" s="1">
      <c r="A14" s="79" t="n"/>
      <c r="B14" s="64" t="n">
        <v>3</v>
      </c>
      <c r="C14" s="64" t="inlineStr">
        <is>
          <t>陈文君</t>
        </is>
      </c>
      <c r="D14" s="64" t="inlineStr">
        <is>
          <t>职    员</t>
        </is>
      </c>
      <c r="E14" s="64" t="n"/>
    </row>
    <row r="15" ht="18" customFormat="1" customHeight="1" s="1">
      <c r="A15" s="80" t="n"/>
      <c r="B15" s="64" t="n">
        <v>4</v>
      </c>
      <c r="C15" s="64" t="inlineStr">
        <is>
          <t>华海金</t>
        </is>
      </c>
      <c r="D15" s="64" t="inlineStr">
        <is>
          <t>职    员</t>
        </is>
      </c>
      <c r="E15" s="64" t="n"/>
    </row>
    <row r="16" ht="18" customFormat="1" customHeight="1" s="1">
      <c r="A16" s="74" t="inlineStr">
        <is>
          <t>投资拓展部</t>
        </is>
      </c>
      <c r="B16" s="64" t="n">
        <v>1</v>
      </c>
      <c r="C16" s="64" t="inlineStr">
        <is>
          <t>张旻菲</t>
        </is>
      </c>
      <c r="D16" s="64" t="inlineStr">
        <is>
          <t>负 责 人</t>
        </is>
      </c>
      <c r="E16" s="64" t="n"/>
    </row>
    <row r="17" ht="18" customFormat="1" customHeight="1" s="1">
      <c r="A17" s="79" t="n"/>
      <c r="B17" s="64" t="n">
        <v>2</v>
      </c>
      <c r="C17" s="64" t="inlineStr">
        <is>
          <t>陈晔龙</t>
        </is>
      </c>
      <c r="D17" s="64" t="inlineStr">
        <is>
          <t>副    职</t>
        </is>
      </c>
      <c r="E17" s="64" t="n"/>
    </row>
    <row r="18" ht="18" customFormat="1" customHeight="1" s="1">
      <c r="A18" s="79" t="n"/>
      <c r="B18" s="64" t="n">
        <v>3</v>
      </c>
      <c r="C18" s="64" t="inlineStr">
        <is>
          <t>鲜卓曦</t>
        </is>
      </c>
      <c r="D18" s="64" t="inlineStr">
        <is>
          <t>职    员</t>
        </is>
      </c>
      <c r="E18" s="64" t="n"/>
    </row>
    <row r="19" ht="18" customFormat="1" customHeight="1" s="1">
      <c r="A19" s="79" t="n"/>
      <c r="B19" s="64" t="n">
        <v>4</v>
      </c>
      <c r="C19" s="64" t="inlineStr">
        <is>
          <t>胡世伟</t>
        </is>
      </c>
      <c r="D19" s="64" t="inlineStr">
        <is>
          <t>职    员</t>
        </is>
      </c>
      <c r="E19" s="64" t="n"/>
    </row>
    <row r="20" ht="18" customFormat="1" customHeight="1" s="1">
      <c r="A20" s="79" t="n"/>
      <c r="B20" s="64" t="n">
        <v>5</v>
      </c>
      <c r="C20" s="64" t="inlineStr">
        <is>
          <t>陈心亮</t>
        </is>
      </c>
      <c r="D20" s="64" t="inlineStr">
        <is>
          <t>职    员</t>
        </is>
      </c>
      <c r="E20" s="64" t="n"/>
    </row>
    <row r="21" ht="18" customFormat="1" customHeight="1" s="1">
      <c r="A21" s="80" t="n"/>
      <c r="B21" s="64" t="n">
        <v>6</v>
      </c>
      <c r="C21" s="64" t="inlineStr">
        <is>
          <t>张彬倩</t>
        </is>
      </c>
      <c r="D21" s="64" t="inlineStr">
        <is>
          <t>职    员</t>
        </is>
      </c>
      <c r="E21" s="64" t="n"/>
    </row>
    <row r="22" ht="18" customFormat="1" customHeight="1" s="1">
      <c r="A22" s="74" t="inlineStr">
        <is>
          <t>财  务  部</t>
        </is>
      </c>
      <c r="B22" s="64" t="n">
        <v>1</v>
      </c>
      <c r="C22" s="64" t="inlineStr">
        <is>
          <t>陈玲巧</t>
        </is>
      </c>
      <c r="D22" s="64" t="inlineStr">
        <is>
          <t>负 责 人</t>
        </is>
      </c>
      <c r="E22" s="64" t="n"/>
    </row>
    <row r="23" ht="18" customFormat="1" customHeight="1" s="1">
      <c r="A23" s="79" t="n"/>
      <c r="B23" s="64" t="n">
        <v>2</v>
      </c>
      <c r="C23" s="64" t="inlineStr">
        <is>
          <t>庄萍萍</t>
        </is>
      </c>
      <c r="D23" s="64" t="inlineStr">
        <is>
          <t>职    员</t>
        </is>
      </c>
      <c r="E23" s="64" t="n"/>
    </row>
    <row r="24" ht="18" customFormat="1" customHeight="1" s="1">
      <c r="A24" s="79" t="n"/>
      <c r="B24" s="64" t="n">
        <v>3</v>
      </c>
      <c r="C24" s="64" t="inlineStr">
        <is>
          <t>林  萱</t>
        </is>
      </c>
      <c r="D24" s="64" t="inlineStr">
        <is>
          <t>职    员</t>
        </is>
      </c>
      <c r="E24" s="64" t="n"/>
    </row>
    <row r="25" ht="18" customFormat="1" customHeight="1" s="1">
      <c r="A25" s="80" t="n"/>
      <c r="B25" s="64" t="n">
        <v>4</v>
      </c>
      <c r="C25" s="64" t="inlineStr">
        <is>
          <t>魏  琳</t>
        </is>
      </c>
      <c r="D25" s="64" t="inlineStr">
        <is>
          <t>职    员</t>
        </is>
      </c>
      <c r="E25" s="64" t="n"/>
    </row>
    <row r="26" ht="18" customFormat="1" customHeight="1" s="1">
      <c r="A26" s="74" t="inlineStr">
        <is>
          <t>综合办公室</t>
        </is>
      </c>
      <c r="B26" s="64" t="n">
        <v>1</v>
      </c>
      <c r="C26" s="64" t="inlineStr">
        <is>
          <t>吴华珊</t>
        </is>
      </c>
      <c r="D26" s="64" t="inlineStr">
        <is>
          <t>负 责 人</t>
        </is>
      </c>
      <c r="E26" s="64" t="n"/>
    </row>
    <row r="27" ht="18" customFormat="1" customHeight="1" s="1">
      <c r="A27" s="79" t="n"/>
      <c r="B27" s="64" t="n">
        <v>2</v>
      </c>
      <c r="C27" s="64" t="inlineStr">
        <is>
          <t>胡彩仙</t>
        </is>
      </c>
      <c r="D27" s="64" t="inlineStr">
        <is>
          <t>副    职</t>
        </is>
      </c>
      <c r="E27" s="64" t="n"/>
    </row>
    <row r="28" ht="18" customFormat="1" customHeight="1" s="1">
      <c r="A28" s="79" t="n"/>
      <c r="B28" s="64" t="n">
        <v>3</v>
      </c>
      <c r="C28" s="64" t="inlineStr">
        <is>
          <t>蒋菲菲</t>
        </is>
      </c>
      <c r="D28" s="64" t="inlineStr">
        <is>
          <t>职    员</t>
        </is>
      </c>
      <c r="E28" s="64" t="n"/>
    </row>
    <row r="29" ht="18" customFormat="1" customHeight="1" s="1">
      <c r="A29" s="79" t="n"/>
      <c r="B29" s="64" t="n">
        <v>4</v>
      </c>
      <c r="C29" s="64" t="inlineStr">
        <is>
          <t>江  华</t>
        </is>
      </c>
      <c r="D29" s="64" t="inlineStr">
        <is>
          <t>职    员</t>
        </is>
      </c>
      <c r="E29" s="64" t="n"/>
    </row>
    <row r="30" ht="18" customFormat="1" customHeight="1" s="1">
      <c r="A30" s="79" t="n"/>
      <c r="B30" s="64" t="n">
        <v>5</v>
      </c>
      <c r="C30" s="64" t="inlineStr">
        <is>
          <t>高鹤鸣</t>
        </is>
      </c>
      <c r="D30" s="64" t="inlineStr">
        <is>
          <t>职    员</t>
        </is>
      </c>
      <c r="E30" s="64" t="n"/>
    </row>
    <row r="31" ht="18" customFormat="1" customHeight="1" s="1">
      <c r="A31" s="79" t="n"/>
      <c r="B31" s="64" t="n">
        <v>6</v>
      </c>
      <c r="C31" s="64" t="inlineStr">
        <is>
          <t>黄  敏</t>
        </is>
      </c>
      <c r="D31" s="64" t="inlineStr">
        <is>
          <t>职    员</t>
        </is>
      </c>
      <c r="E31" s="64" t="n"/>
    </row>
    <row r="32" ht="18" customHeight="1" s="78">
      <c r="A32" s="79" t="n"/>
      <c r="B32" s="64" t="n">
        <v>7</v>
      </c>
      <c r="C32" s="64" t="inlineStr">
        <is>
          <t>阮  薇</t>
        </is>
      </c>
      <c r="D32" s="64" t="inlineStr">
        <is>
          <t>职    员</t>
        </is>
      </c>
      <c r="E32" s="64" t="n"/>
    </row>
    <row r="33" ht="18" customHeight="1" s="78">
      <c r="A33" s="79" t="n"/>
      <c r="B33" s="64" t="n">
        <v>8</v>
      </c>
      <c r="C33" s="64" t="inlineStr">
        <is>
          <t>郭晓惠</t>
        </is>
      </c>
      <c r="D33" s="64" t="inlineStr">
        <is>
          <t>职    员</t>
        </is>
      </c>
      <c r="E33" s="64" t="n"/>
    </row>
    <row r="34" ht="18" customHeight="1" s="78">
      <c r="A34" s="80" t="n"/>
      <c r="B34" s="64" t="n">
        <v>9</v>
      </c>
      <c r="C34" s="64" t="inlineStr">
        <is>
          <t>潘朝亮</t>
        </is>
      </c>
      <c r="D34" s="64" t="inlineStr">
        <is>
          <t>职    员</t>
        </is>
      </c>
      <c r="E34" s="64" t="n"/>
    </row>
    <row r="35" ht="18" customHeight="1" s="78">
      <c r="A35" s="74" t="inlineStr">
        <is>
          <t>党群纪检审计部</t>
        </is>
      </c>
      <c r="B35" s="64" t="n">
        <v>1</v>
      </c>
      <c r="C35" s="64" t="inlineStr">
        <is>
          <t>龚心怡</t>
        </is>
      </c>
      <c r="D35" s="64" t="inlineStr">
        <is>
          <t>负 责 人</t>
        </is>
      </c>
      <c r="E35" s="64" t="n"/>
    </row>
    <row r="36" ht="18" customHeight="1" s="78">
      <c r="A36" s="79" t="n"/>
      <c r="B36" s="64" t="n">
        <v>2</v>
      </c>
      <c r="C36" s="64" t="inlineStr">
        <is>
          <t>陈佳欐</t>
        </is>
      </c>
      <c r="D36" s="64" t="inlineStr">
        <is>
          <t>职    员</t>
        </is>
      </c>
      <c r="E36" s="64" t="n"/>
    </row>
    <row r="37" ht="18" customHeight="1" s="78">
      <c r="A37" s="79" t="n"/>
      <c r="B37" s="64" t="n">
        <v>3</v>
      </c>
      <c r="C37" s="64" t="inlineStr">
        <is>
          <t>刘  燕</t>
        </is>
      </c>
      <c r="D37" s="64" t="inlineStr">
        <is>
          <t>职    员</t>
        </is>
      </c>
      <c r="E37" s="64" t="n"/>
    </row>
    <row r="38" ht="18" customHeight="1" s="78">
      <c r="A38" s="79" t="n"/>
      <c r="B38" s="64" t="n">
        <v>4</v>
      </c>
      <c r="C38" s="64" t="inlineStr">
        <is>
          <t>张  琪</t>
        </is>
      </c>
      <c r="D38" s="64" t="inlineStr">
        <is>
          <t>职    员</t>
        </is>
      </c>
      <c r="E38" s="64" t="n"/>
    </row>
    <row r="39" ht="18" customHeight="1" s="78">
      <c r="A39" s="79" t="n"/>
      <c r="B39" s="64" t="n">
        <v>5</v>
      </c>
      <c r="C39" s="64" t="inlineStr">
        <is>
          <t>仇静凯</t>
        </is>
      </c>
      <c r="D39" s="64" t="inlineStr">
        <is>
          <t>职    员</t>
        </is>
      </c>
      <c r="E39" s="64" t="n"/>
    </row>
    <row r="40" ht="18" customHeight="1" s="78">
      <c r="A40" s="80" t="n"/>
      <c r="B40" s="64" t="n">
        <v>6</v>
      </c>
      <c r="C40" s="64" t="inlineStr">
        <is>
          <t>陈宗钰</t>
        </is>
      </c>
      <c r="D40" s="64" t="inlineStr">
        <is>
          <t>职    员</t>
        </is>
      </c>
      <c r="E40" s="64" t="n"/>
    </row>
    <row r="41" ht="49.95" customFormat="1" customHeight="1" s="1">
      <c r="A41" s="6" t="inlineStr">
        <is>
          <t>绩效考核委员会意见：</t>
        </is>
      </c>
      <c r="B41" s="0" t="n"/>
      <c r="C41" s="0" t="n"/>
      <c r="D41" s="0" t="n"/>
      <c r="E41" s="0" t="n"/>
    </row>
    <row r="42" ht="20.25" customHeight="1" s="78"/>
    <row r="43" ht="20.25" customHeight="1" s="78"/>
    <row r="44" ht="20.25" customHeight="1" s="78"/>
    <row r="45" ht="20.25" customHeight="1" s="78"/>
    <row r="46" ht="20.25" customHeight="1" s="78"/>
    <row r="47" ht="20.25" customHeight="1" s="78"/>
    <row r="48" ht="20.25" customHeight="1" s="78"/>
    <row r="49" ht="20.25" customHeight="1" s="78"/>
    <row r="50" ht="20.25" customHeight="1" s="78"/>
    <row r="51" ht="20.25" customHeight="1" s="78"/>
    <row r="52" ht="20.25" customHeight="1" s="78"/>
    <row r="53" ht="20.25" customHeight="1" s="78"/>
    <row r="54" ht="20.25" customHeight="1" s="78"/>
    <row r="55" ht="20.25" customHeight="1" s="78"/>
    <row r="56" ht="20.25" customHeight="1" s="78">
      <c r="B56" s="1" t="n"/>
      <c r="C56" s="1" t="n"/>
      <c r="D56" s="1" t="n"/>
      <c r="E56" s="1" t="n"/>
    </row>
  </sheetData>
  <mergeCells count="7">
    <mergeCell ref="A35:A40"/>
    <mergeCell ref="A26:A34"/>
    <mergeCell ref="A12:A15"/>
    <mergeCell ref="A3:A11"/>
    <mergeCell ref="A16:A21"/>
    <mergeCell ref="A1:E1"/>
    <mergeCell ref="A22:A25"/>
  </mergeCells>
  <pageMargins left="0.786805555555556" right="0.786805555555556" top="0.393055555555556" bottom="0.236111111111111" header="0.196527777777778" footer="0.156944444444444"/>
  <pageSetup orientation="portrait" paperSize="9" scale="95" fitToHeight="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2021-08-26T02:04:00Z</dcterms:created>
  <dcterms:modified xsi:type="dcterms:W3CDTF">2026-04-19T14:20:26Z</dcterms:modified>
  <cp:lastModifiedBy>Mac Qiu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KSOProductBuildVer" fmtid="{D5CDD505-2E9C-101B-9397-08002B2CF9AE}" pid="2">
    <vt:lpwstr>2052-12.1.0.25225</vt:lpwstr>
  </property>
  <property name="ICV" fmtid="{D5CDD505-2E9C-101B-9397-08002B2CF9AE}" pid="3">
    <vt:lpwstr>96759E911A284D94A70C72BBE21DA1DD_13</vt:lpwstr>
  </property>
  <property name="CalculationRule" fmtid="{D5CDD505-2E9C-101B-9397-08002B2CF9AE}" pid="4">
    <vt:i4>0</vt:i4>
  </property>
</Properties>
</file>